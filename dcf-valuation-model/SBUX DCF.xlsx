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12227036d49e32/Documents/"/>
    </mc:Choice>
  </mc:AlternateContent>
  <xr:revisionPtr revIDLastSave="5903" documentId="8_{5C63EF8D-83EE-418B-B866-F842308E5EA8}" xr6:coauthVersionLast="47" xr6:coauthVersionMax="47" xr10:uidLastSave="{41F4B2E1-FFD3-4A7F-AEE6-2B0CAF85F385}"/>
  <bookViews>
    <workbookView xWindow="-98" yWindow="-98" windowWidth="21795" windowHeight="12975" tabRatio="816" firstSheet="1" activeTab="4" xr2:uid="{E698B0F4-C395-43BE-96D1-8074983FF2C9}"/>
  </bookViews>
  <sheets>
    <sheet name="WACC" sheetId="12" r:id="rId1"/>
    <sheet name="Beta Regression" sheetId="15" r:id="rId2"/>
    <sheet name="Sensitivity Analysis" sheetId="13" r:id="rId3"/>
    <sheet name="Adjusted Tax Rate " sheetId="5" r:id="rId4"/>
    <sheet name="DCF" sheetId="1" r:id="rId5"/>
    <sheet name="Ratios " sheetId="14" r:id="rId6"/>
    <sheet name="growth calculation" sheetId="10" r:id="rId7"/>
    <sheet name="Balance Sheet" sheetId="8" r:id="rId8"/>
    <sheet name="Cash Flow " sheetId="3" r:id="rId9"/>
    <sheet name="Income Statement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8" i="1" l="1"/>
  <c r="L44" i="1"/>
  <c r="S20" i="10"/>
  <c r="U10" i="10"/>
  <c r="T10" i="10"/>
  <c r="S130" i="15" l="1"/>
  <c r="R130" i="15"/>
  <c r="S129" i="15"/>
  <c r="R129" i="15"/>
  <c r="S128" i="15"/>
  <c r="R128" i="15"/>
  <c r="S127" i="15"/>
  <c r="R127" i="15"/>
  <c r="S126" i="15"/>
  <c r="R126" i="15"/>
  <c r="S125" i="15"/>
  <c r="R125" i="15"/>
  <c r="S124" i="15"/>
  <c r="R124" i="15"/>
  <c r="S123" i="15"/>
  <c r="R123" i="15"/>
  <c r="S122" i="15"/>
  <c r="R122" i="15"/>
  <c r="S121" i="15"/>
  <c r="R121" i="15"/>
  <c r="S120" i="15"/>
  <c r="R120" i="15"/>
  <c r="S119" i="15"/>
  <c r="R119" i="15"/>
  <c r="S118" i="15"/>
  <c r="R118" i="15"/>
  <c r="S117" i="15"/>
  <c r="R117" i="15"/>
  <c r="S116" i="15"/>
  <c r="R116" i="15"/>
  <c r="S115" i="15"/>
  <c r="R115" i="15"/>
  <c r="S114" i="15"/>
  <c r="R114" i="15"/>
  <c r="S113" i="15"/>
  <c r="R113" i="15"/>
  <c r="S112" i="15"/>
  <c r="R112" i="15"/>
  <c r="S111" i="15"/>
  <c r="R111" i="15"/>
  <c r="S110" i="15"/>
  <c r="R110" i="15"/>
  <c r="S109" i="15"/>
  <c r="R109" i="15"/>
  <c r="S108" i="15"/>
  <c r="R108" i="15"/>
  <c r="S107" i="15"/>
  <c r="R107" i="15"/>
  <c r="S106" i="15"/>
  <c r="R106" i="15"/>
  <c r="S105" i="15"/>
  <c r="R105" i="15"/>
  <c r="S104" i="15"/>
  <c r="R104" i="15"/>
  <c r="S103" i="15"/>
  <c r="R103" i="15"/>
  <c r="S102" i="15"/>
  <c r="R102" i="15"/>
  <c r="S101" i="15"/>
  <c r="R101" i="15"/>
  <c r="S100" i="15"/>
  <c r="R100" i="15"/>
  <c r="S99" i="15"/>
  <c r="R99" i="15"/>
  <c r="S98" i="15"/>
  <c r="R98" i="15"/>
  <c r="S97" i="15"/>
  <c r="R97" i="15"/>
  <c r="S96" i="15"/>
  <c r="R96" i="15"/>
  <c r="S95" i="15"/>
  <c r="R95" i="15"/>
  <c r="S94" i="15"/>
  <c r="R94" i="15"/>
  <c r="S93" i="15"/>
  <c r="R93" i="15"/>
  <c r="S92" i="15"/>
  <c r="R92" i="15"/>
  <c r="S91" i="15"/>
  <c r="R91" i="15"/>
  <c r="S90" i="15"/>
  <c r="R90" i="15"/>
  <c r="S89" i="15"/>
  <c r="R89" i="15"/>
  <c r="S88" i="15"/>
  <c r="R88" i="15"/>
  <c r="S87" i="15"/>
  <c r="R87" i="15"/>
  <c r="S86" i="15"/>
  <c r="R86" i="15"/>
  <c r="S85" i="15"/>
  <c r="R85" i="15"/>
  <c r="S84" i="15"/>
  <c r="R84" i="15"/>
  <c r="S83" i="15"/>
  <c r="R83" i="15"/>
  <c r="S82" i="15"/>
  <c r="R82" i="15"/>
  <c r="S81" i="15"/>
  <c r="R81" i="15"/>
  <c r="S80" i="15"/>
  <c r="R80" i="15"/>
  <c r="S79" i="15"/>
  <c r="R79" i="15"/>
  <c r="S78" i="15"/>
  <c r="R78" i="15"/>
  <c r="S77" i="15"/>
  <c r="R77" i="15"/>
  <c r="S76" i="15"/>
  <c r="R76" i="15"/>
  <c r="S75" i="15"/>
  <c r="R75" i="15"/>
  <c r="S74" i="15"/>
  <c r="R74" i="15"/>
  <c r="S73" i="15"/>
  <c r="R73" i="15"/>
  <c r="S72" i="15"/>
  <c r="R72" i="15"/>
  <c r="S71" i="15"/>
  <c r="R71" i="15"/>
  <c r="S70" i="15"/>
  <c r="R70" i="15"/>
  <c r="S69" i="15"/>
  <c r="R69" i="15"/>
  <c r="S68" i="15"/>
  <c r="R68" i="15"/>
  <c r="S67" i="15"/>
  <c r="R67" i="15"/>
  <c r="S66" i="15"/>
  <c r="R66" i="15"/>
  <c r="S65" i="15"/>
  <c r="R65" i="15"/>
  <c r="S64" i="15"/>
  <c r="R64" i="15"/>
  <c r="S63" i="15"/>
  <c r="R63" i="15"/>
  <c r="S62" i="15"/>
  <c r="R62" i="15"/>
  <c r="S61" i="15"/>
  <c r="R61" i="15"/>
  <c r="S60" i="15"/>
  <c r="R60" i="15"/>
  <c r="S59" i="15"/>
  <c r="R59" i="15"/>
  <c r="S58" i="15"/>
  <c r="R58" i="15"/>
  <c r="S57" i="15"/>
  <c r="R57" i="15"/>
  <c r="S56" i="15"/>
  <c r="R56" i="15"/>
  <c r="S55" i="15"/>
  <c r="R55" i="15"/>
  <c r="S54" i="15"/>
  <c r="R54" i="15"/>
  <c r="S53" i="15"/>
  <c r="R53" i="15"/>
  <c r="S52" i="15"/>
  <c r="R52" i="15"/>
  <c r="S51" i="15"/>
  <c r="R51" i="15"/>
  <c r="S50" i="15"/>
  <c r="R50" i="15"/>
  <c r="S49" i="15"/>
  <c r="R49" i="15"/>
  <c r="S48" i="15"/>
  <c r="R48" i="15"/>
  <c r="S47" i="15"/>
  <c r="R47" i="15"/>
  <c r="S46" i="15"/>
  <c r="R46" i="15"/>
  <c r="S45" i="15"/>
  <c r="R45" i="15"/>
  <c r="S44" i="15"/>
  <c r="R44" i="15"/>
  <c r="S43" i="15"/>
  <c r="R43" i="15"/>
  <c r="S42" i="15"/>
  <c r="R42" i="15"/>
  <c r="S41" i="15"/>
  <c r="R41" i="15"/>
  <c r="S40" i="15"/>
  <c r="R40" i="15"/>
  <c r="S39" i="15"/>
  <c r="R39" i="15"/>
  <c r="S38" i="15"/>
  <c r="R38" i="15"/>
  <c r="S37" i="15"/>
  <c r="R37" i="15"/>
  <c r="S36" i="15"/>
  <c r="R36" i="15"/>
  <c r="S35" i="15"/>
  <c r="R35" i="15"/>
  <c r="S34" i="15"/>
  <c r="R34" i="15"/>
  <c r="S33" i="15"/>
  <c r="R33" i="15"/>
  <c r="S32" i="15"/>
  <c r="R32" i="15"/>
  <c r="S31" i="15"/>
  <c r="R31" i="15"/>
  <c r="S30" i="15"/>
  <c r="R30" i="15"/>
  <c r="S29" i="15"/>
  <c r="R29" i="15"/>
  <c r="S28" i="15"/>
  <c r="R28" i="15"/>
  <c r="S27" i="15"/>
  <c r="R27" i="15"/>
  <c r="S26" i="15"/>
  <c r="R26" i="15"/>
  <c r="S25" i="15"/>
  <c r="R25" i="15"/>
  <c r="S24" i="15"/>
  <c r="R24" i="15"/>
  <c r="S23" i="15"/>
  <c r="R23" i="15"/>
  <c r="S22" i="15"/>
  <c r="R22" i="15"/>
  <c r="S21" i="15"/>
  <c r="R21" i="15"/>
  <c r="S20" i="15"/>
  <c r="R20" i="15"/>
  <c r="S19" i="15"/>
  <c r="R19" i="15"/>
  <c r="S18" i="15"/>
  <c r="R18" i="15"/>
  <c r="S17" i="15"/>
  <c r="R17" i="15"/>
  <c r="S16" i="15"/>
  <c r="R16" i="15"/>
  <c r="S15" i="15"/>
  <c r="R15" i="15"/>
  <c r="S14" i="15"/>
  <c r="R14" i="15"/>
  <c r="S13" i="15"/>
  <c r="R13" i="15"/>
  <c r="S12" i="15"/>
  <c r="R12" i="15"/>
  <c r="S11" i="15"/>
  <c r="R11" i="15"/>
  <c r="S10" i="15"/>
  <c r="R10" i="15"/>
  <c r="S9" i="15"/>
  <c r="R9" i="15"/>
  <c r="S8" i="15"/>
  <c r="R8" i="15"/>
  <c r="S7" i="15"/>
  <c r="R7" i="15"/>
  <c r="S6" i="15"/>
  <c r="R6" i="15"/>
  <c r="S5" i="15"/>
  <c r="R5" i="15"/>
  <c r="S4" i="15"/>
  <c r="R4" i="15"/>
  <c r="S3" i="15"/>
  <c r="R3" i="15"/>
  <c r="S2" i="15"/>
  <c r="R2" i="15"/>
  <c r="N84" i="14"/>
  <c r="D57" i="14" s="1"/>
  <c r="M84" i="14"/>
  <c r="C57" i="14" s="1"/>
  <c r="N83" i="14"/>
  <c r="M83" i="14"/>
  <c r="C43" i="14" s="1"/>
  <c r="N82" i="14"/>
  <c r="D28" i="14" s="1"/>
  <c r="M82" i="14"/>
  <c r="C28" i="14" s="1"/>
  <c r="N72" i="14"/>
  <c r="D56" i="14" s="1"/>
  <c r="M72" i="14"/>
  <c r="C56" i="14" s="1"/>
  <c r="N71" i="14"/>
  <c r="D42" i="14" s="1"/>
  <c r="M71" i="14"/>
  <c r="C42" i="14" s="1"/>
  <c r="N70" i="14"/>
  <c r="M70" i="14"/>
  <c r="C27" i="14" s="1"/>
  <c r="N58" i="14"/>
  <c r="D55" i="14" s="1"/>
  <c r="M58" i="14"/>
  <c r="C55" i="14" s="1"/>
  <c r="N57" i="14"/>
  <c r="D41" i="14" s="1"/>
  <c r="M57" i="14"/>
  <c r="C41" i="14" s="1"/>
  <c r="N56" i="14"/>
  <c r="D26" i="14" s="1"/>
  <c r="M56" i="14"/>
  <c r="C26" i="14" s="1"/>
  <c r="D43" i="14"/>
  <c r="N45" i="14"/>
  <c r="D54" i="14" s="1"/>
  <c r="M45" i="14"/>
  <c r="C54" i="14" s="1"/>
  <c r="N44" i="14"/>
  <c r="D40" i="14" s="1"/>
  <c r="M44" i="14"/>
  <c r="C40" i="14" s="1"/>
  <c r="N43" i="14"/>
  <c r="D25" i="14" s="1"/>
  <c r="M43" i="14"/>
  <c r="C25" i="14" s="1"/>
  <c r="N32" i="14"/>
  <c r="D53" i="14" s="1"/>
  <c r="M32" i="14"/>
  <c r="C53" i="14" s="1"/>
  <c r="N31" i="14"/>
  <c r="D39" i="14" s="1"/>
  <c r="M31" i="14"/>
  <c r="C39" i="14" s="1"/>
  <c r="N30" i="14"/>
  <c r="D24" i="14" s="1"/>
  <c r="M30" i="14"/>
  <c r="C24" i="14" s="1"/>
  <c r="D27" i="14"/>
  <c r="N19" i="14"/>
  <c r="D52" i="14" s="1"/>
  <c r="M19" i="14"/>
  <c r="C52" i="14" s="1"/>
  <c r="N18" i="14"/>
  <c r="D38" i="14" s="1"/>
  <c r="M18" i="14"/>
  <c r="C38" i="14" s="1"/>
  <c r="N17" i="14"/>
  <c r="D23" i="14" s="1"/>
  <c r="M17" i="14"/>
  <c r="C23" i="14" s="1"/>
  <c r="D13" i="14"/>
  <c r="C13" i="14"/>
  <c r="D12" i="14"/>
  <c r="C12" i="14"/>
  <c r="D11" i="14"/>
  <c r="C11" i="14"/>
  <c r="D10" i="14"/>
  <c r="C10" i="14"/>
  <c r="D9" i="14"/>
  <c r="C9" i="14"/>
  <c r="D8" i="14"/>
  <c r="C8" i="14"/>
  <c r="N7" i="14"/>
  <c r="D47" i="14" s="1"/>
  <c r="M7" i="14"/>
  <c r="C47" i="14" s="1"/>
  <c r="N6" i="14"/>
  <c r="D33" i="14" s="1"/>
  <c r="M6" i="14"/>
  <c r="C33" i="14" s="1"/>
  <c r="D3" i="14"/>
  <c r="C3" i="14"/>
  <c r="N5" i="14"/>
  <c r="D18" i="14" s="1"/>
  <c r="M5" i="14"/>
  <c r="C18" i="14" s="1"/>
  <c r="D4" i="14" l="1"/>
  <c r="D5" i="14" s="1"/>
  <c r="C4" i="14"/>
  <c r="C5" i="14" s="1"/>
  <c r="D34" i="14"/>
  <c r="D35" i="14" s="1"/>
  <c r="C34" i="14"/>
  <c r="C35" i="14" s="1"/>
  <c r="C19" i="14"/>
  <c r="C20" i="14" s="1"/>
  <c r="D48" i="14"/>
  <c r="D49" i="14" s="1"/>
  <c r="C48" i="14"/>
  <c r="C49" i="14" s="1"/>
  <c r="D19" i="14"/>
  <c r="D20" i="14" s="1"/>
  <c r="C20" i="13"/>
  <c r="C19" i="13"/>
  <c r="C17" i="13"/>
  <c r="C16" i="13"/>
  <c r="H15" i="13"/>
  <c r="G15" i="13"/>
  <c r="E15" i="13"/>
  <c r="D15" i="13"/>
  <c r="C15" i="13"/>
  <c r="C9" i="13"/>
  <c r="C8" i="13"/>
  <c r="C6" i="13"/>
  <c r="C5" i="13"/>
  <c r="H4" i="13"/>
  <c r="G4" i="13"/>
  <c r="E4" i="13"/>
  <c r="D4" i="13"/>
  <c r="C4" i="13"/>
  <c r="C38" i="10"/>
  <c r="C37" i="10"/>
  <c r="C36" i="10"/>
  <c r="H34" i="10"/>
  <c r="G34" i="10"/>
  <c r="F34" i="10"/>
  <c r="E34" i="10"/>
  <c r="D34" i="10"/>
  <c r="H32" i="10"/>
  <c r="G32" i="10"/>
  <c r="F32" i="10"/>
  <c r="E32" i="10"/>
  <c r="D32" i="10"/>
  <c r="I31" i="10"/>
  <c r="J31" i="10" s="1"/>
  <c r="H30" i="10"/>
  <c r="G30" i="10"/>
  <c r="F30" i="10"/>
  <c r="E30" i="10"/>
  <c r="D30" i="10"/>
  <c r="I29" i="10"/>
  <c r="J29" i="10" s="1"/>
  <c r="K29" i="10" s="1"/>
  <c r="L29" i="10" s="1"/>
  <c r="M29" i="10" s="1"/>
  <c r="N29" i="10" s="1"/>
  <c r="O29" i="10" s="1"/>
  <c r="P29" i="10" s="1"/>
  <c r="Q29" i="10" s="1"/>
  <c r="R29" i="10" s="1"/>
  <c r="D36" i="10" s="1"/>
  <c r="AC36" i="1"/>
  <c r="C79" i="10"/>
  <c r="C78" i="10"/>
  <c r="H55" i="10"/>
  <c r="T6" i="10"/>
  <c r="S6" i="10"/>
  <c r="T4" i="10"/>
  <c r="C97" i="10"/>
  <c r="I33" i="10" l="1"/>
  <c r="I34" i="10" s="1"/>
  <c r="K31" i="10"/>
  <c r="J33" i="10"/>
  <c r="E66" i="1"/>
  <c r="E67" i="1" s="1"/>
  <c r="E64" i="1"/>
  <c r="E63" i="1" s="1"/>
  <c r="I62" i="1"/>
  <c r="J62" i="1" s="1"/>
  <c r="G62" i="1"/>
  <c r="F62" i="1" s="1"/>
  <c r="E56" i="1"/>
  <c r="E55" i="1"/>
  <c r="E53" i="1"/>
  <c r="E52" i="1"/>
  <c r="J51" i="1"/>
  <c r="I51" i="1"/>
  <c r="G51" i="1"/>
  <c r="F51" i="1"/>
  <c r="C99" i="10"/>
  <c r="L15" i="6"/>
  <c r="L14" i="6"/>
  <c r="B14" i="1"/>
  <c r="L43" i="1"/>
  <c r="M43" i="1" s="1"/>
  <c r="I90" i="10"/>
  <c r="J90" i="10" s="1"/>
  <c r="C98" i="10"/>
  <c r="S4" i="10"/>
  <c r="D91" i="10"/>
  <c r="E91" i="10"/>
  <c r="F91" i="10"/>
  <c r="G91" i="10"/>
  <c r="H91" i="10"/>
  <c r="D93" i="10"/>
  <c r="E93" i="10"/>
  <c r="F93" i="10"/>
  <c r="G93" i="10"/>
  <c r="H93" i="10"/>
  <c r="C55" i="10"/>
  <c r="D55" i="10"/>
  <c r="E55" i="10"/>
  <c r="F55" i="10"/>
  <c r="G55" i="10"/>
  <c r="H57" i="10" s="1"/>
  <c r="C52" i="10"/>
  <c r="D52" i="10"/>
  <c r="E52" i="10"/>
  <c r="F52" i="10"/>
  <c r="G52" i="10"/>
  <c r="H52" i="10"/>
  <c r="H56" i="10" s="1"/>
  <c r="D5" i="10"/>
  <c r="C53" i="10"/>
  <c r="C62" i="10" s="1"/>
  <c r="D53" i="10"/>
  <c r="D62" i="10" s="1"/>
  <c r="E53" i="10"/>
  <c r="F53" i="10"/>
  <c r="G53" i="10"/>
  <c r="H53" i="10"/>
  <c r="C60" i="10"/>
  <c r="D60" i="10"/>
  <c r="E60" i="10"/>
  <c r="F60" i="10"/>
  <c r="G60" i="10"/>
  <c r="H60" i="10"/>
  <c r="D51" i="10"/>
  <c r="E51" i="10" s="1"/>
  <c r="F51" i="10" s="1"/>
  <c r="G51" i="10" s="1"/>
  <c r="H51" i="10" s="1"/>
  <c r="U46" i="1"/>
  <c r="L3" i="13" s="1"/>
  <c r="U53" i="1"/>
  <c r="U52" i="1"/>
  <c r="S10" i="10"/>
  <c r="S8" i="10"/>
  <c r="T8" i="10"/>
  <c r="C34" i="1"/>
  <c r="D34" i="1"/>
  <c r="E34" i="1"/>
  <c r="F34" i="1"/>
  <c r="G34" i="1"/>
  <c r="H34" i="1"/>
  <c r="I34" i="1"/>
  <c r="J34" i="1"/>
  <c r="K34" i="1"/>
  <c r="B34" i="1"/>
  <c r="C31" i="1"/>
  <c r="D31" i="1"/>
  <c r="E31" i="1"/>
  <c r="F31" i="1"/>
  <c r="G31" i="1"/>
  <c r="H31" i="1"/>
  <c r="I31" i="1"/>
  <c r="J31" i="1"/>
  <c r="K31" i="1"/>
  <c r="B31" i="1"/>
  <c r="C12" i="1"/>
  <c r="D12" i="1"/>
  <c r="E12" i="1"/>
  <c r="F12" i="1"/>
  <c r="G12" i="1"/>
  <c r="H12" i="1"/>
  <c r="I12" i="1"/>
  <c r="J12" i="1"/>
  <c r="K12" i="1"/>
  <c r="V12" i="1" s="1"/>
  <c r="B12" i="1"/>
  <c r="H1" i="12"/>
  <c r="D8" i="12" s="1"/>
  <c r="AG21" i="1"/>
  <c r="J23" i="12"/>
  <c r="J22" i="12"/>
  <c r="J21" i="12"/>
  <c r="J20" i="12"/>
  <c r="J16" i="12"/>
  <c r="I8" i="12"/>
  <c r="D4" i="12" s="1"/>
  <c r="D11" i="12"/>
  <c r="J34" i="10" l="1"/>
  <c r="L31" i="10"/>
  <c r="K33" i="10"/>
  <c r="K34" i="10" s="1"/>
  <c r="C80" i="10"/>
  <c r="K90" i="10"/>
  <c r="C61" i="10"/>
  <c r="G62" i="10"/>
  <c r="F62" i="10"/>
  <c r="E62" i="10"/>
  <c r="G61" i="10"/>
  <c r="H62" i="10"/>
  <c r="F61" i="10"/>
  <c r="E61" i="10"/>
  <c r="D61" i="10"/>
  <c r="H61" i="10"/>
  <c r="F54" i="10"/>
  <c r="E54" i="10"/>
  <c r="D54" i="10"/>
  <c r="H54" i="10"/>
  <c r="G54" i="10"/>
  <c r="C54" i="10"/>
  <c r="H63" i="10"/>
  <c r="D63" i="10"/>
  <c r="C63" i="10"/>
  <c r="J24" i="12"/>
  <c r="D13" i="12"/>
  <c r="U47" i="1" s="1"/>
  <c r="AI49" i="1"/>
  <c r="AI50" i="1"/>
  <c r="AI51" i="1"/>
  <c r="AI48" i="1"/>
  <c r="O35" i="8"/>
  <c r="P35" i="8"/>
  <c r="Q35" i="8"/>
  <c r="R35" i="8"/>
  <c r="S35" i="8"/>
  <c r="N35" i="8"/>
  <c r="S34" i="8"/>
  <c r="P34" i="8"/>
  <c r="Q34" i="8"/>
  <c r="R34" i="8"/>
  <c r="O34" i="8"/>
  <c r="C13" i="1"/>
  <c r="M31" i="10" l="1"/>
  <c r="L33" i="10"/>
  <c r="L34" i="10" s="1"/>
  <c r="L4" i="13"/>
  <c r="AI52" i="1"/>
  <c r="L90" i="10"/>
  <c r="G56" i="10"/>
  <c r="G63" i="10"/>
  <c r="F56" i="10"/>
  <c r="F63" i="10"/>
  <c r="E56" i="10"/>
  <c r="E63" i="10"/>
  <c r="C64" i="10" s="1"/>
  <c r="C66" i="10"/>
  <c r="H59" i="10"/>
  <c r="D56" i="10"/>
  <c r="D58" i="10"/>
  <c r="H58" i="10"/>
  <c r="F58" i="10"/>
  <c r="E58" i="10"/>
  <c r="C56" i="10"/>
  <c r="C58" i="10"/>
  <c r="G58" i="10"/>
  <c r="E57" i="10"/>
  <c r="F59" i="10"/>
  <c r="F57" i="10"/>
  <c r="D57" i="10"/>
  <c r="G57" i="10"/>
  <c r="D59" i="10"/>
  <c r="G59" i="10"/>
  <c r="E59" i="10"/>
  <c r="AI44" i="1"/>
  <c r="AH34" i="1"/>
  <c r="AC29" i="1" s="1"/>
  <c r="AC33" i="1"/>
  <c r="C65" i="10" l="1"/>
  <c r="N31" i="10"/>
  <c r="M33" i="10"/>
  <c r="M34" i="10" s="1"/>
  <c r="AC38" i="1"/>
  <c r="M90" i="10"/>
  <c r="N43" i="1"/>
  <c r="O43" i="1" s="1"/>
  <c r="P43" i="1" s="1"/>
  <c r="Q43" i="1" s="1"/>
  <c r="R43" i="1" s="1"/>
  <c r="S43" i="1" s="1"/>
  <c r="T43" i="1" s="1"/>
  <c r="U43" i="1" s="1"/>
  <c r="B81" i="10"/>
  <c r="L79" i="10"/>
  <c r="K79" i="10"/>
  <c r="J79" i="10"/>
  <c r="I79" i="10"/>
  <c r="H79" i="10"/>
  <c r="G79" i="10"/>
  <c r="F79" i="10"/>
  <c r="E79" i="10"/>
  <c r="D79" i="10"/>
  <c r="C77" i="10"/>
  <c r="D77" i="10" s="1"/>
  <c r="E77" i="10" s="1"/>
  <c r="F77" i="10" s="1"/>
  <c r="G77" i="10" s="1"/>
  <c r="H77" i="10" s="1"/>
  <c r="I77" i="10" s="1"/>
  <c r="J77" i="10" s="1"/>
  <c r="K77" i="10" s="1"/>
  <c r="L77" i="10" s="1"/>
  <c r="L78" i="10"/>
  <c r="J78" i="10"/>
  <c r="K78" i="10"/>
  <c r="E78" i="10"/>
  <c r="F78" i="10"/>
  <c r="G78" i="10"/>
  <c r="H78" i="10"/>
  <c r="I78" i="10"/>
  <c r="D78" i="10"/>
  <c r="O31" i="10" l="1"/>
  <c r="N33" i="10"/>
  <c r="N34" i="10" s="1"/>
  <c r="N90" i="10"/>
  <c r="K80" i="10"/>
  <c r="J37" i="1" s="1"/>
  <c r="J38" i="1" s="1"/>
  <c r="K81" i="10" s="1"/>
  <c r="I80" i="10"/>
  <c r="H80" i="10"/>
  <c r="G37" i="1" s="1"/>
  <c r="G38" i="1" s="1"/>
  <c r="H81" i="10" s="1"/>
  <c r="L80" i="10"/>
  <c r="K37" i="1" s="1"/>
  <c r="K38" i="1" s="1"/>
  <c r="L81" i="10" s="1"/>
  <c r="G80" i="10"/>
  <c r="F37" i="1" s="1"/>
  <c r="F38" i="1" s="1"/>
  <c r="G81" i="10" s="1"/>
  <c r="E80" i="10"/>
  <c r="J80" i="10"/>
  <c r="I37" i="1" s="1"/>
  <c r="I38" i="1" s="1"/>
  <c r="J81" i="10" s="1"/>
  <c r="F80" i="10"/>
  <c r="D80" i="10"/>
  <c r="C37" i="1" s="1"/>
  <c r="C38" i="1" s="1"/>
  <c r="D81" i="10" s="1"/>
  <c r="B35" i="1"/>
  <c r="C6" i="5"/>
  <c r="C9" i="5" s="1"/>
  <c r="P31" i="10" l="1"/>
  <c r="O33" i="10"/>
  <c r="O34" i="10" s="1"/>
  <c r="I82" i="10"/>
  <c r="H39" i="1" s="1"/>
  <c r="H37" i="1"/>
  <c r="H38" i="1" s="1"/>
  <c r="I81" i="10" s="1"/>
  <c r="L83" i="10" s="1"/>
  <c r="D82" i="10"/>
  <c r="C39" i="1" s="1"/>
  <c r="B37" i="1"/>
  <c r="B38" i="1" s="1"/>
  <c r="C81" i="10" s="1"/>
  <c r="O90" i="10"/>
  <c r="H82" i="10"/>
  <c r="G39" i="1" s="1"/>
  <c r="L82" i="10"/>
  <c r="K39" i="1" s="1"/>
  <c r="F82" i="10"/>
  <c r="E39" i="1" s="1"/>
  <c r="E82" i="10"/>
  <c r="D39" i="1" s="1"/>
  <c r="D37" i="1"/>
  <c r="D38" i="1" s="1"/>
  <c r="E81" i="10" s="1"/>
  <c r="E37" i="1"/>
  <c r="E38" i="1" s="1"/>
  <c r="F81" i="10" s="1"/>
  <c r="J82" i="10"/>
  <c r="I39" i="1" s="1"/>
  <c r="G82" i="10"/>
  <c r="F39" i="1" s="1"/>
  <c r="K82" i="10"/>
  <c r="J39" i="1" s="1"/>
  <c r="B25" i="1"/>
  <c r="Q31" i="10" l="1"/>
  <c r="P33" i="10"/>
  <c r="P34" i="10" s="1"/>
  <c r="L84" i="10"/>
  <c r="P90" i="10"/>
  <c r="C20" i="1"/>
  <c r="C21" i="1" s="1"/>
  <c r="D20" i="1"/>
  <c r="D21" i="1" s="1"/>
  <c r="E20" i="1"/>
  <c r="E21" i="1" s="1"/>
  <c r="F20" i="1"/>
  <c r="F21" i="1" s="1"/>
  <c r="G20" i="1"/>
  <c r="G21" i="1" s="1"/>
  <c r="H20" i="1"/>
  <c r="H21" i="1" s="1"/>
  <c r="I20" i="1"/>
  <c r="I21" i="1" s="1"/>
  <c r="J20" i="1"/>
  <c r="J21" i="1" s="1"/>
  <c r="K20" i="1"/>
  <c r="K21" i="1" s="1"/>
  <c r="B20" i="1"/>
  <c r="B21" i="1" s="1"/>
  <c r="B18" i="1"/>
  <c r="B19" i="1" s="1"/>
  <c r="K18" i="1"/>
  <c r="C18" i="1"/>
  <c r="C19" i="1" s="1"/>
  <c r="D18" i="1"/>
  <c r="D19" i="1" s="1"/>
  <c r="E18" i="1"/>
  <c r="E19" i="1" s="1"/>
  <c r="F18" i="1"/>
  <c r="F19" i="1" s="1"/>
  <c r="G18" i="1"/>
  <c r="G19" i="1" s="1"/>
  <c r="H18" i="1"/>
  <c r="H19" i="1" s="1"/>
  <c r="I18" i="1"/>
  <c r="I19" i="1" s="1"/>
  <c r="J18" i="1"/>
  <c r="J19" i="1" s="1"/>
  <c r="K14" i="1"/>
  <c r="K15" i="1" s="1"/>
  <c r="J14" i="1"/>
  <c r="J16" i="1" s="1"/>
  <c r="J17" i="1" s="1"/>
  <c r="I14" i="1"/>
  <c r="I15" i="1" s="1"/>
  <c r="H14" i="1"/>
  <c r="H15" i="1" s="1"/>
  <c r="G14" i="1"/>
  <c r="G16" i="1" s="1"/>
  <c r="F14" i="1"/>
  <c r="F16" i="1" s="1"/>
  <c r="E14" i="1"/>
  <c r="E15" i="1" s="1"/>
  <c r="D14" i="1"/>
  <c r="D15" i="1" s="1"/>
  <c r="C14" i="1"/>
  <c r="C15" i="1" s="1"/>
  <c r="B15" i="1"/>
  <c r="I8" i="10"/>
  <c r="J8" i="10" s="1"/>
  <c r="K8" i="10" s="1"/>
  <c r="L8" i="10" s="1"/>
  <c r="M8" i="10" s="1"/>
  <c r="N8" i="10" s="1"/>
  <c r="O8" i="10" s="1"/>
  <c r="P8" i="10" s="1"/>
  <c r="Q8" i="10" s="1"/>
  <c r="R8" i="10" s="1"/>
  <c r="U8" i="10" s="1"/>
  <c r="I6" i="10"/>
  <c r="J6" i="10" s="1"/>
  <c r="K6" i="10" s="1"/>
  <c r="L6" i="10" s="1"/>
  <c r="M6" i="10" s="1"/>
  <c r="N6" i="10" s="1"/>
  <c r="O6" i="10" s="1"/>
  <c r="P6" i="10" s="1"/>
  <c r="Q6" i="10" s="1"/>
  <c r="R6" i="10" s="1"/>
  <c r="U6" i="10" s="1"/>
  <c r="I4" i="10"/>
  <c r="C18" i="10"/>
  <c r="C20" i="10" s="1"/>
  <c r="H5" i="10"/>
  <c r="D18" i="10"/>
  <c r="D20" i="10" s="1"/>
  <c r="E18" i="10"/>
  <c r="E20" i="10" s="1"/>
  <c r="F18" i="10"/>
  <c r="F20" i="10" s="1"/>
  <c r="G18" i="10"/>
  <c r="G20" i="10" s="1"/>
  <c r="H18" i="10"/>
  <c r="E95" i="10"/>
  <c r="F95" i="10"/>
  <c r="G95" i="10"/>
  <c r="H95" i="10"/>
  <c r="D95" i="10"/>
  <c r="E11" i="10"/>
  <c r="F11" i="10"/>
  <c r="G11" i="10"/>
  <c r="H11" i="10"/>
  <c r="D11" i="10"/>
  <c r="E9" i="10"/>
  <c r="F9" i="10"/>
  <c r="G9" i="10"/>
  <c r="H9" i="10"/>
  <c r="D9" i="10"/>
  <c r="E5" i="10"/>
  <c r="F5" i="10"/>
  <c r="G5" i="10"/>
  <c r="E7" i="10"/>
  <c r="F7" i="10"/>
  <c r="G7" i="10"/>
  <c r="H7" i="10"/>
  <c r="D7" i="10"/>
  <c r="R31" i="10" l="1"/>
  <c r="Q33" i="10"/>
  <c r="Q34" i="10" s="1"/>
  <c r="C22" i="10"/>
  <c r="I10" i="10"/>
  <c r="L12" i="1" s="1"/>
  <c r="I11" i="10"/>
  <c r="H20" i="10"/>
  <c r="I18" i="10"/>
  <c r="J18" i="10" s="1"/>
  <c r="K18" i="10" s="1"/>
  <c r="L18" i="10" s="1"/>
  <c r="M18" i="10" s="1"/>
  <c r="N18" i="10" s="1"/>
  <c r="Q90" i="10"/>
  <c r="J4" i="10"/>
  <c r="K4" i="10" s="1"/>
  <c r="G22" i="1"/>
  <c r="F22" i="1"/>
  <c r="J22" i="1"/>
  <c r="K19" i="1"/>
  <c r="F15" i="1"/>
  <c r="I16" i="1"/>
  <c r="I22" i="1" s="1"/>
  <c r="G15" i="1"/>
  <c r="F17" i="1"/>
  <c r="G17" i="1"/>
  <c r="D16" i="1"/>
  <c r="D22" i="1" s="1"/>
  <c r="E16" i="1"/>
  <c r="E22" i="1" s="1"/>
  <c r="H16" i="1"/>
  <c r="H22" i="1" s="1"/>
  <c r="B16" i="1"/>
  <c r="B22" i="1" s="1"/>
  <c r="C16" i="1"/>
  <c r="C22" i="1" s="1"/>
  <c r="J15" i="1"/>
  <c r="K16" i="1"/>
  <c r="F19" i="10"/>
  <c r="G19" i="10"/>
  <c r="E19" i="10"/>
  <c r="H19" i="10"/>
  <c r="D19" i="10"/>
  <c r="L14" i="1" l="1"/>
  <c r="L31" i="1"/>
  <c r="D37" i="10"/>
  <c r="R33" i="10"/>
  <c r="B26" i="1"/>
  <c r="B28" i="1" s="1"/>
  <c r="R90" i="10"/>
  <c r="D97" i="10" s="1"/>
  <c r="J10" i="10"/>
  <c r="M12" i="1" s="1"/>
  <c r="M14" i="1" s="1"/>
  <c r="I52" i="10"/>
  <c r="K22" i="1"/>
  <c r="V16" i="1"/>
  <c r="C7" i="5"/>
  <c r="O18" i="10"/>
  <c r="E17" i="1"/>
  <c r="D17" i="1"/>
  <c r="I17" i="1"/>
  <c r="H17" i="1"/>
  <c r="K17" i="1"/>
  <c r="C17" i="1"/>
  <c r="B17" i="1"/>
  <c r="L4" i="10"/>
  <c r="K10" i="10"/>
  <c r="K32" i="1"/>
  <c r="K35" i="1"/>
  <c r="D6" i="5"/>
  <c r="D9" i="5" s="1"/>
  <c r="C25" i="1" s="1"/>
  <c r="C26" i="1" s="1"/>
  <c r="C28" i="1" s="1"/>
  <c r="E6" i="5"/>
  <c r="E9" i="5" s="1"/>
  <c r="D25" i="1" s="1"/>
  <c r="F6" i="5"/>
  <c r="F9" i="5" s="1"/>
  <c r="E25" i="1" s="1"/>
  <c r="G6" i="5"/>
  <c r="G9" i="5" s="1"/>
  <c r="F25" i="1" s="1"/>
  <c r="H6" i="5"/>
  <c r="H9" i="5" s="1"/>
  <c r="G25" i="1" s="1"/>
  <c r="I6" i="5"/>
  <c r="I9" i="5" s="1"/>
  <c r="H25" i="1" s="1"/>
  <c r="J6" i="5"/>
  <c r="J9" i="5" s="1"/>
  <c r="I25" i="1" s="1"/>
  <c r="K6" i="5"/>
  <c r="K9" i="5" s="1"/>
  <c r="J25" i="1" s="1"/>
  <c r="L6" i="5"/>
  <c r="L9" i="5" s="1"/>
  <c r="K25" i="1" s="1"/>
  <c r="B23" i="1"/>
  <c r="D38" i="10" l="1"/>
  <c r="R34" i="10"/>
  <c r="I55" i="10"/>
  <c r="I59" i="10" s="1"/>
  <c r="I60" i="10"/>
  <c r="N12" i="1"/>
  <c r="N14" i="1" s="1"/>
  <c r="J52" i="10"/>
  <c r="J60" i="10" s="1"/>
  <c r="L37" i="1"/>
  <c r="L39" i="1" s="1"/>
  <c r="K7" i="5"/>
  <c r="I7" i="5"/>
  <c r="H7" i="5"/>
  <c r="G7" i="5"/>
  <c r="C41" i="1"/>
  <c r="B41" i="1"/>
  <c r="L18" i="1"/>
  <c r="J11" i="10"/>
  <c r="K52" i="10"/>
  <c r="K55" i="10" s="1"/>
  <c r="K23" i="1"/>
  <c r="V22" i="1"/>
  <c r="K11" i="10"/>
  <c r="B29" i="1"/>
  <c r="F7" i="5"/>
  <c r="C29" i="1"/>
  <c r="K26" i="1"/>
  <c r="K28" i="1" s="1"/>
  <c r="K41" i="1" s="1"/>
  <c r="F26" i="1"/>
  <c r="F28" i="1" s="1"/>
  <c r="D26" i="1"/>
  <c r="D28" i="1" s="1"/>
  <c r="I26" i="1"/>
  <c r="I28" i="1" s="1"/>
  <c r="E7" i="5"/>
  <c r="D7" i="5"/>
  <c r="L7" i="5"/>
  <c r="J26" i="1"/>
  <c r="J28" i="1" s="1"/>
  <c r="J29" i="1" s="1"/>
  <c r="J7" i="5"/>
  <c r="H26" i="1"/>
  <c r="H28" i="1" s="1"/>
  <c r="G26" i="1"/>
  <c r="G28" i="1" s="1"/>
  <c r="G29" i="1" s="1"/>
  <c r="E26" i="1"/>
  <c r="E28" i="1" s="1"/>
  <c r="P18" i="10"/>
  <c r="M4" i="10"/>
  <c r="L10" i="10"/>
  <c r="C35" i="1"/>
  <c r="D35" i="1"/>
  <c r="E35" i="1"/>
  <c r="F35" i="1"/>
  <c r="G35" i="1"/>
  <c r="H35" i="1"/>
  <c r="I35" i="1"/>
  <c r="J35" i="1"/>
  <c r="C32" i="1"/>
  <c r="D32" i="1"/>
  <c r="E32" i="1"/>
  <c r="F32" i="1"/>
  <c r="G32" i="1"/>
  <c r="H32" i="1"/>
  <c r="I32" i="1"/>
  <c r="J32" i="1"/>
  <c r="B32" i="1"/>
  <c r="I57" i="10" l="1"/>
  <c r="J55" i="10"/>
  <c r="J59" i="10" s="1"/>
  <c r="J53" i="10" s="1"/>
  <c r="O12" i="1"/>
  <c r="O14" i="1" s="1"/>
  <c r="I53" i="10"/>
  <c r="I54" i="10" s="1"/>
  <c r="I41" i="1"/>
  <c r="E41" i="1"/>
  <c r="J41" i="1"/>
  <c r="D41" i="1"/>
  <c r="F41" i="1"/>
  <c r="G41" i="1"/>
  <c r="F29" i="1"/>
  <c r="V41" i="1"/>
  <c r="H41" i="1"/>
  <c r="H29" i="1"/>
  <c r="E29" i="1"/>
  <c r="I29" i="1"/>
  <c r="D29" i="1"/>
  <c r="L52" i="10"/>
  <c r="L55" i="10" s="1"/>
  <c r="L57" i="10" s="1"/>
  <c r="K60" i="10"/>
  <c r="K29" i="1"/>
  <c r="V28" i="1"/>
  <c r="L11" i="10"/>
  <c r="M10" i="10"/>
  <c r="N4" i="10"/>
  <c r="Q18" i="10"/>
  <c r="R18" i="10" s="1"/>
  <c r="C23" i="10" s="1"/>
  <c r="C23" i="1"/>
  <c r="D23" i="1"/>
  <c r="E23" i="1"/>
  <c r="F23" i="1"/>
  <c r="G23" i="1"/>
  <c r="H23" i="1"/>
  <c r="I23" i="1"/>
  <c r="J23" i="1"/>
  <c r="D3" i="5"/>
  <c r="E3" i="5" s="1"/>
  <c r="F3" i="5" s="1"/>
  <c r="G3" i="5" s="1"/>
  <c r="H3" i="5" s="1"/>
  <c r="I3" i="5" s="1"/>
  <c r="J3" i="5" s="1"/>
  <c r="K3" i="5" s="1"/>
  <c r="L3" i="5" s="1"/>
  <c r="K59" i="10" l="1"/>
  <c r="K53" i="10" s="1"/>
  <c r="J57" i="10"/>
  <c r="K57" i="10"/>
  <c r="P12" i="1"/>
  <c r="P14" i="1" s="1"/>
  <c r="I58" i="10"/>
  <c r="L34" i="1"/>
  <c r="M52" i="10"/>
  <c r="M55" i="10" s="1"/>
  <c r="M57" i="10" s="1"/>
  <c r="L60" i="10"/>
  <c r="L59" i="10"/>
  <c r="M11" i="10"/>
  <c r="O4" i="10"/>
  <c r="N10" i="10"/>
  <c r="Q12" i="1" l="1"/>
  <c r="Q14" i="1" s="1"/>
  <c r="L35" i="1"/>
  <c r="L53" i="10"/>
  <c r="J54" i="10"/>
  <c r="M34" i="1"/>
  <c r="J58" i="10"/>
  <c r="K54" i="10"/>
  <c r="N34" i="1"/>
  <c r="K58" i="10"/>
  <c r="N52" i="10"/>
  <c r="N55" i="10" s="1"/>
  <c r="N57" i="10" s="1"/>
  <c r="M60" i="10"/>
  <c r="M59" i="10"/>
  <c r="N11" i="10"/>
  <c r="P4" i="10"/>
  <c r="O10" i="10"/>
  <c r="C10" i="1"/>
  <c r="D10" i="1" s="1"/>
  <c r="E10" i="1" s="1"/>
  <c r="F10" i="1" s="1"/>
  <c r="G13" i="1"/>
  <c r="H13" i="1"/>
  <c r="I13" i="1"/>
  <c r="J13" i="1"/>
  <c r="K13" i="1"/>
  <c r="R12" i="1" l="1"/>
  <c r="R14" i="1" s="1"/>
  <c r="L54" i="10"/>
  <c r="L58" i="10"/>
  <c r="O34" i="1"/>
  <c r="M53" i="10"/>
  <c r="O52" i="10"/>
  <c r="O55" i="10" s="1"/>
  <c r="O57" i="10" s="1"/>
  <c r="N60" i="10"/>
  <c r="N59" i="10"/>
  <c r="O11" i="10"/>
  <c r="Q4" i="10"/>
  <c r="P10" i="10"/>
  <c r="G10" i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F13" i="1"/>
  <c r="E13" i="1"/>
  <c r="D13" i="1"/>
  <c r="S12" i="1" l="1"/>
  <c r="S14" i="1" s="1"/>
  <c r="M54" i="10"/>
  <c r="P34" i="1"/>
  <c r="M58" i="10"/>
  <c r="N53" i="10"/>
  <c r="P52" i="10"/>
  <c r="O60" i="10"/>
  <c r="O59" i="10"/>
  <c r="P11" i="10"/>
  <c r="R4" i="10"/>
  <c r="U4" i="10" s="1"/>
  <c r="Q10" i="10"/>
  <c r="T12" i="1" l="1"/>
  <c r="T14" i="1" s="1"/>
  <c r="P55" i="10"/>
  <c r="P60" i="10"/>
  <c r="N54" i="10"/>
  <c r="N58" i="10"/>
  <c r="Q34" i="1"/>
  <c r="O53" i="10"/>
  <c r="Q52" i="10"/>
  <c r="R10" i="10"/>
  <c r="Q11" i="10"/>
  <c r="U12" i="1" l="1"/>
  <c r="U14" i="1" s="1"/>
  <c r="Q55" i="10"/>
  <c r="Q59" i="10" s="1"/>
  <c r="Q60" i="10"/>
  <c r="P57" i="10"/>
  <c r="P59" i="10"/>
  <c r="O54" i="10"/>
  <c r="R34" i="1"/>
  <c r="O58" i="10"/>
  <c r="P53" i="10"/>
  <c r="R52" i="10"/>
  <c r="R55" i="10" s="1"/>
  <c r="C67" i="10" s="1"/>
  <c r="R11" i="10"/>
  <c r="W12" i="1"/>
  <c r="Q57" i="10" l="1"/>
  <c r="R57" i="10"/>
  <c r="P54" i="10"/>
  <c r="S34" i="1"/>
  <c r="P58" i="10"/>
  <c r="Q53" i="10"/>
  <c r="R59" i="10"/>
  <c r="R60" i="10"/>
  <c r="L16" i="1"/>
  <c r="L20" i="1"/>
  <c r="L13" i="1"/>
  <c r="M31" i="1"/>
  <c r="M18" i="1"/>
  <c r="M37" i="1"/>
  <c r="M20" i="1"/>
  <c r="M13" i="1"/>
  <c r="M16" i="1"/>
  <c r="Q54" i="10" l="1"/>
  <c r="Q58" i="10"/>
  <c r="T34" i="1"/>
  <c r="R53" i="10"/>
  <c r="N16" i="1"/>
  <c r="N13" i="1"/>
  <c r="N18" i="1"/>
  <c r="N20" i="1"/>
  <c r="N31" i="1"/>
  <c r="N37" i="1"/>
  <c r="N39" i="1" s="1"/>
  <c r="O13" i="1"/>
  <c r="O20" i="1"/>
  <c r="O37" i="1"/>
  <c r="O16" i="1"/>
  <c r="O18" i="1"/>
  <c r="O31" i="1"/>
  <c r="M22" i="1"/>
  <c r="M28" i="1" s="1"/>
  <c r="M17" i="1"/>
  <c r="L17" i="1"/>
  <c r="L22" i="1"/>
  <c r="L28" i="1" s="1"/>
  <c r="L41" i="1" s="1"/>
  <c r="M39" i="1"/>
  <c r="M41" i="1" l="1"/>
  <c r="M44" i="1" s="1"/>
  <c r="R54" i="10"/>
  <c r="U34" i="1"/>
  <c r="U31" i="1" s="1"/>
  <c r="U32" i="1" s="1"/>
  <c r="R58" i="10"/>
  <c r="O39" i="1"/>
  <c r="N22" i="1"/>
  <c r="N28" i="1" s="1"/>
  <c r="N17" i="1"/>
  <c r="O17" i="1"/>
  <c r="O22" i="1"/>
  <c r="O28" i="1" s="1"/>
  <c r="M23" i="1"/>
  <c r="M25" i="1"/>
  <c r="L25" i="1"/>
  <c r="L23" i="1"/>
  <c r="P13" i="1"/>
  <c r="P18" i="1"/>
  <c r="P16" i="1"/>
  <c r="P20" i="1"/>
  <c r="P37" i="1"/>
  <c r="P39" i="1" s="1"/>
  <c r="P31" i="1"/>
  <c r="O41" i="1" l="1"/>
  <c r="O44" i="1" s="1"/>
  <c r="N41" i="1"/>
  <c r="N44" i="1" s="1"/>
  <c r="N23" i="1"/>
  <c r="N25" i="1"/>
  <c r="P17" i="1"/>
  <c r="P22" i="1"/>
  <c r="P28" i="1" s="1"/>
  <c r="M29" i="1"/>
  <c r="L29" i="1"/>
  <c r="Q31" i="1"/>
  <c r="Q18" i="1"/>
  <c r="Q16" i="1"/>
  <c r="Q13" i="1"/>
  <c r="Q37" i="1"/>
  <c r="Q39" i="1" s="1"/>
  <c r="Q20" i="1"/>
  <c r="O25" i="1"/>
  <c r="O23" i="1"/>
  <c r="P41" i="1" l="1"/>
  <c r="P44" i="1" s="1"/>
  <c r="N29" i="1"/>
  <c r="Q22" i="1"/>
  <c r="Q28" i="1" s="1"/>
  <c r="Q17" i="1"/>
  <c r="O29" i="1"/>
  <c r="R20" i="1"/>
  <c r="R31" i="1"/>
  <c r="R37" i="1"/>
  <c r="R39" i="1" s="1"/>
  <c r="R16" i="1"/>
  <c r="R18" i="1"/>
  <c r="R13" i="1"/>
  <c r="P25" i="1"/>
  <c r="P23" i="1"/>
  <c r="Q41" i="1" l="1"/>
  <c r="Q44" i="1" s="1"/>
  <c r="S31" i="1"/>
  <c r="S16" i="1"/>
  <c r="S13" i="1"/>
  <c r="S37" i="1"/>
  <c r="S39" i="1" s="1"/>
  <c r="S18" i="1"/>
  <c r="S20" i="1"/>
  <c r="R22" i="1"/>
  <c r="R28" i="1" s="1"/>
  <c r="R17" i="1"/>
  <c r="P29" i="1"/>
  <c r="Q23" i="1"/>
  <c r="Q25" i="1"/>
  <c r="R41" i="1" l="1"/>
  <c r="R44" i="1" s="1"/>
  <c r="Q29" i="1"/>
  <c r="R23" i="1"/>
  <c r="R25" i="1"/>
  <c r="U20" i="1"/>
  <c r="U16" i="1"/>
  <c r="W16" i="1" s="1"/>
  <c r="U18" i="1"/>
  <c r="U13" i="1"/>
  <c r="U37" i="1"/>
  <c r="S22" i="1"/>
  <c r="S28" i="1" s="1"/>
  <c r="S17" i="1"/>
  <c r="T20" i="1"/>
  <c r="T37" i="1"/>
  <c r="T39" i="1" s="1"/>
  <c r="T16" i="1"/>
  <c r="T18" i="1"/>
  <c r="T13" i="1"/>
  <c r="T31" i="1"/>
  <c r="S41" i="1" l="1"/>
  <c r="S44" i="1" s="1"/>
  <c r="U39" i="1"/>
  <c r="U17" i="1"/>
  <c r="U22" i="1"/>
  <c r="R29" i="1"/>
  <c r="S25" i="1"/>
  <c r="S23" i="1"/>
  <c r="T22" i="1"/>
  <c r="T28" i="1" s="1"/>
  <c r="T17" i="1"/>
  <c r="T41" i="1" l="1"/>
  <c r="T44" i="1" s="1"/>
  <c r="W22" i="1"/>
  <c r="U28" i="1"/>
  <c r="T23" i="1"/>
  <c r="T25" i="1"/>
  <c r="S29" i="1"/>
  <c r="U25" i="1"/>
  <c r="U23" i="1"/>
  <c r="W28" i="1" l="1"/>
  <c r="T29" i="1"/>
  <c r="U29" i="1" l="1"/>
  <c r="M35" i="1"/>
  <c r="T35" i="1"/>
  <c r="S35" i="1"/>
  <c r="R35" i="1"/>
  <c r="Q35" i="1"/>
  <c r="P35" i="1"/>
  <c r="N35" i="1"/>
  <c r="O35" i="1"/>
  <c r="U35" i="1"/>
  <c r="U41" i="1" l="1"/>
  <c r="U44" i="1" s="1"/>
  <c r="W41" i="1" l="1"/>
  <c r="U49" i="1"/>
  <c r="U51" i="1" s="1"/>
  <c r="E62" i="1" l="1"/>
  <c r="U54" i="1"/>
  <c r="U56" i="1" s="1"/>
  <c r="U59" i="1" s="1"/>
  <c r="L1" i="13"/>
  <c r="I92" i="10"/>
  <c r="B7" i="1" l="1"/>
  <c r="E51" i="1"/>
  <c r="L2" i="13"/>
  <c r="J92" i="10"/>
  <c r="I94" i="10"/>
  <c r="I20" i="10" s="1"/>
  <c r="B8" i="1" l="1"/>
  <c r="I21" i="10"/>
  <c r="I95" i="10"/>
  <c r="I62" i="10"/>
  <c r="I63" i="10"/>
  <c r="K92" i="10"/>
  <c r="J94" i="10"/>
  <c r="L92" i="10" l="1"/>
  <c r="K94" i="10"/>
  <c r="J95" i="10"/>
  <c r="J62" i="10"/>
  <c r="J63" i="10"/>
  <c r="J20" i="10"/>
  <c r="J21" i="10" l="1"/>
  <c r="K95" i="10"/>
  <c r="K62" i="10"/>
  <c r="K63" i="10"/>
  <c r="K20" i="10"/>
  <c r="M92" i="10"/>
  <c r="L94" i="10"/>
  <c r="K21" i="10" l="1"/>
  <c r="L95" i="10"/>
  <c r="L62" i="10"/>
  <c r="L63" i="10"/>
  <c r="L20" i="10"/>
  <c r="N92" i="10"/>
  <c r="M94" i="10"/>
  <c r="L21" i="10" l="1"/>
  <c r="M95" i="10"/>
  <c r="M62" i="10"/>
  <c r="M63" i="10"/>
  <c r="M20" i="10"/>
  <c r="O92" i="10"/>
  <c r="N94" i="10"/>
  <c r="M21" i="10" l="1"/>
  <c r="N95" i="10"/>
  <c r="N62" i="10"/>
  <c r="N63" i="10"/>
  <c r="N20" i="10"/>
  <c r="P92" i="10"/>
  <c r="O94" i="10"/>
  <c r="N21" i="10" l="1"/>
  <c r="O95" i="10"/>
  <c r="O62" i="10"/>
  <c r="O63" i="10"/>
  <c r="O20" i="10"/>
  <c r="Q92" i="10"/>
  <c r="P94" i="10"/>
  <c r="O21" i="10" l="1"/>
  <c r="P95" i="10"/>
  <c r="P62" i="10"/>
  <c r="P63" i="10"/>
  <c r="P20" i="10"/>
  <c r="R92" i="10"/>
  <c r="Q94" i="10"/>
  <c r="P21" i="10" l="1"/>
  <c r="R94" i="10"/>
  <c r="R95" i="10" s="1"/>
  <c r="D98" i="10"/>
  <c r="Q95" i="10"/>
  <c r="Q62" i="10"/>
  <c r="Q63" i="10"/>
  <c r="Q20" i="10"/>
  <c r="R63" i="10" l="1"/>
  <c r="R62" i="10"/>
  <c r="Q21" i="10"/>
  <c r="D99" i="10"/>
  <c r="R20" i="10"/>
  <c r="R21" i="10" l="1"/>
</calcChain>
</file>

<file path=xl/sharedStrings.xml><?xml version="1.0" encoding="utf-8"?>
<sst xmlns="http://schemas.openxmlformats.org/spreadsheetml/2006/main" count="1174" uniqueCount="457">
  <si>
    <t xml:space="preserve">Overview </t>
  </si>
  <si>
    <t xml:space="preserve">Company  Ticker </t>
  </si>
  <si>
    <t xml:space="preserve">Date </t>
  </si>
  <si>
    <t xml:space="preserve">Stock Price </t>
  </si>
  <si>
    <t xml:space="preserve">Stock Price Forecast </t>
  </si>
  <si>
    <t xml:space="preserve">Delta </t>
  </si>
  <si>
    <t>EBIT</t>
  </si>
  <si>
    <t>Taxes</t>
  </si>
  <si>
    <t xml:space="preserve"> </t>
  </si>
  <si>
    <t>Plus: D&amp;A</t>
  </si>
  <si>
    <t>Less: Capex</t>
  </si>
  <si>
    <t xml:space="preserve">Discount Period </t>
  </si>
  <si>
    <t>Discounted FCF</t>
  </si>
  <si>
    <t>Terminal Value (TV)</t>
  </si>
  <si>
    <t xml:space="preserve">Enterprise value </t>
  </si>
  <si>
    <t xml:space="preserve">Plus: Cash </t>
  </si>
  <si>
    <t xml:space="preserve">Less:Debt </t>
  </si>
  <si>
    <t xml:space="preserve">Equity Value </t>
  </si>
  <si>
    <t xml:space="preserve">Divided: Share outstanding </t>
  </si>
  <si>
    <t>Starbucks Corp (SBUX US) - As Reported</t>
  </si>
  <si>
    <t>In Millions of USD except Per Share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</si>
  <si>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</si>
  <si>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</si>
  <si>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</si>
  <si>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</si>
  <si>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</si>
  <si>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</si>
  <si>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</si>
  <si>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</si>
  <si>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</si>
  <si>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</si>
  <si>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12 Months Ending</t>
  </si>
  <si>
    <t>09/27/2015</t>
  </si>
  <si>
    <t>09/30/2018</t>
  </si>
  <si>
    <t>09/29/2019</t>
  </si>
  <si>
    <t>09/27/2020</t>
  </si>
  <si>
    <t>09/29/2024</t>
  </si>
  <si>
    <t>—</t>
  </si>
  <si>
    <t xml:space="preserve">  Reference Items</t>
  </si>
  <si>
    <t>Depreciation Expense</t>
  </si>
  <si>
    <t>Total Cash Common Dividends</t>
  </si>
  <si>
    <t>Source: Bloomberg</t>
  </si>
  <si>
    <t>Cash Flow</t>
  </si>
  <si>
    <t xml:space="preserve">  Cash From Operating Activities</t>
  </si>
  <si>
    <t>Net Income - CF</t>
  </si>
  <si>
    <t>Depreciation And Amortization - CF</t>
  </si>
  <si>
    <t>Deferred Income Taxes - CF</t>
  </si>
  <si>
    <t>Disposal/Sale of Assets</t>
  </si>
  <si>
    <t>Stock Based Compensation</t>
  </si>
  <si>
    <t>Other Non-Cash Items</t>
  </si>
  <si>
    <t>Change in Inventories</t>
  </si>
  <si>
    <t>Change in Accounts Payable</t>
  </si>
  <si>
    <t>Change in Accounts Receivable</t>
  </si>
  <si>
    <t>Change in Accrued Expenses</t>
  </si>
  <si>
    <t>Change in Deferred/Unearned Revenue -ST</t>
  </si>
  <si>
    <t>Change in Income Taxes Payable (Receivable)</t>
  </si>
  <si>
    <t>Change in Other Current Assets</t>
  </si>
  <si>
    <t>Equity In Earnings Of Affiliates/JV-CF</t>
  </si>
  <si>
    <t>Impairments</t>
  </si>
  <si>
    <t>Tax Benefit From Exercise of Stock Option-Oper</t>
  </si>
  <si>
    <t>Total Cash Flows From Operations</t>
  </si>
  <si>
    <t>Change In Other Assets And Liabilities</t>
  </si>
  <si>
    <t>Gain/(Loss) On Early Extinguishment of Debt</t>
  </si>
  <si>
    <t>Impairment Of Goodwill-CF</t>
  </si>
  <si>
    <t>Dividends Received From Joint Ventures</t>
  </si>
  <si>
    <t>Gain/Loss On Disposal Of Affiliates</t>
  </si>
  <si>
    <t>Gain/Loss On Disposal Of Subsidiaries</t>
  </si>
  <si>
    <t xml:space="preserve">  Cash From Investing Activities</t>
  </si>
  <si>
    <t>Disposal of Fixed Assets</t>
  </si>
  <si>
    <t>Capital Expenditures</t>
  </si>
  <si>
    <t>Proceeds From Investments</t>
  </si>
  <si>
    <t>Purchases of Investments</t>
  </si>
  <si>
    <t>Acquisition of Business</t>
  </si>
  <si>
    <t>Other Investing Activities</t>
  </si>
  <si>
    <t>Divestiture of Business</t>
  </si>
  <si>
    <t>Proceeds From Sale Of Assocs/Joint Ventures</t>
  </si>
  <si>
    <t>Purchase Of Associates/Joint Ventures</t>
  </si>
  <si>
    <t>Total Cash Flows From Investing</t>
  </si>
  <si>
    <t xml:space="preserve">  Cash from Financing Activities</t>
  </si>
  <si>
    <t>Dividends Paid</t>
  </si>
  <si>
    <t>Increase In Short-Term Borrowings</t>
  </si>
  <si>
    <t>Decrease In St Borrowings</t>
  </si>
  <si>
    <t>Increase In Long-Term Borrowings</t>
  </si>
  <si>
    <t>Decrease In Long-Term Borrowings</t>
  </si>
  <si>
    <t>Issuance of Common Stock</t>
  </si>
  <si>
    <t>Repurchase of Common Stock</t>
  </si>
  <si>
    <t>Effect of Exchange Rates On Cash</t>
  </si>
  <si>
    <t>Other Financing Activities</t>
  </si>
  <si>
    <t>Cash Paid For Taxes</t>
  </si>
  <si>
    <t>Cash Paid For Interest</t>
  </si>
  <si>
    <t>Net Change In Cash</t>
  </si>
  <si>
    <t>Cash and Cash Equivalents (End of Period)</t>
  </si>
  <si>
    <t>Cash and Cash Equivalents (Beg of Period)</t>
  </si>
  <si>
    <t>Minority Interest Distributions</t>
  </si>
  <si>
    <t>Tax Benefit From Stock Options - Financing</t>
  </si>
  <si>
    <t>Total Cash Flows From Financing</t>
  </si>
  <si>
    <t>Total Current Assets</t>
  </si>
  <si>
    <t>Total Assets</t>
  </si>
  <si>
    <t>Total Current Liabilities</t>
  </si>
  <si>
    <t>Total Noncurrent Liabilities</t>
  </si>
  <si>
    <t>Total Liabilities</t>
  </si>
  <si>
    <t>Shares Outstanding</t>
  </si>
  <si>
    <t>Future Minimum Operating Lease Obligations</t>
  </si>
  <si>
    <t>Number of Employees</t>
  </si>
  <si>
    <t>Options Granted During Period</t>
  </si>
  <si>
    <t xml:space="preserve">Adjusted Tax Rate </t>
  </si>
  <si>
    <t>Fed Statutory rate</t>
  </si>
  <si>
    <t>Starbucks Corp (SBUX US) - BBG Adjusted</t>
  </si>
  <si>
    <t>Revenue</t>
  </si>
  <si>
    <t xml:space="preserve">    Growth (YoY)</t>
  </si>
  <si>
    <t xml:space="preserve">    + Sales &amp; Services Revenue</t>
  </si>
  <si>
    <t xml:space="preserve">    + Other Revenue</t>
  </si>
  <si>
    <t xml:space="preserve">  - Cost of Revenue</t>
  </si>
  <si>
    <t xml:space="preserve">    + Cost of Goods &amp; Services</t>
  </si>
  <si>
    <t>Gross Profit</t>
  </si>
  <si>
    <t xml:space="preserve">  + Other Operating Income</t>
  </si>
  <si>
    <t xml:space="preserve">  - Operating Expenses</t>
  </si>
  <si>
    <t xml:space="preserve">    + Selling, General &amp; Admin</t>
  </si>
  <si>
    <t xml:space="preserve">    + Selling &amp; Marketing</t>
  </si>
  <si>
    <t xml:space="preserve">    + General &amp; Administrative</t>
  </si>
  <si>
    <t xml:space="preserve">    + Research &amp; Development</t>
  </si>
  <si>
    <t xml:space="preserve">    + Depreciation &amp; Amortization</t>
  </si>
  <si>
    <t xml:space="preserve">    + Other Operating Expense</t>
  </si>
  <si>
    <t>Operating Income (Loss)</t>
  </si>
  <si>
    <t xml:space="preserve">  - Non-Operating (Income) Loss</t>
  </si>
  <si>
    <t xml:space="preserve">    + Interest Expense, Net</t>
  </si>
  <si>
    <t xml:space="preserve">    + Interest Expense</t>
  </si>
  <si>
    <t xml:space="preserve">    - Interest Income</t>
  </si>
  <si>
    <t xml:space="preserve">    + Foreign Exch (Gain) Loss</t>
  </si>
  <si>
    <t xml:space="preserve">    + Other Non-Op (Income) Loss</t>
  </si>
  <si>
    <t>Pretax Income (Loss), Adjusted</t>
  </si>
  <si>
    <t xml:space="preserve">  - Abnormal Losses (Gains)</t>
  </si>
  <si>
    <t xml:space="preserve">    + Merger/Acquisition Expense</t>
  </si>
  <si>
    <t xml:space="preserve">    + Disposal of Assets</t>
  </si>
  <si>
    <t xml:space="preserve">    + Early Extinguishment of Debt</t>
  </si>
  <si>
    <t xml:space="preserve">    + Asset Write-Down</t>
  </si>
  <si>
    <t xml:space="preserve">    + Impairment of Goodwill</t>
  </si>
  <si>
    <t xml:space="preserve">    + Gain/Loss on Sale/Acquisition of Business</t>
  </si>
  <si>
    <t xml:space="preserve">    + Legal Settlement</t>
  </si>
  <si>
    <t xml:space="preserve">    + Restructuring</t>
  </si>
  <si>
    <t xml:space="preserve">    + Sale of Investments</t>
  </si>
  <si>
    <t xml:space="preserve">    + Other Abnormal Items</t>
  </si>
  <si>
    <t>Pretax Income (Loss), GAAP</t>
  </si>
  <si>
    <t xml:space="preserve">  - Income Tax Expense (Benefit)</t>
  </si>
  <si>
    <t xml:space="preserve">    + Current Income Tax</t>
  </si>
  <si>
    <t xml:space="preserve">    + Deferred Income Tax</t>
  </si>
  <si>
    <t>Income (Loss) from Cont Ops</t>
  </si>
  <si>
    <t xml:space="preserve">  - Net Extraordinary Losses (Gains)</t>
  </si>
  <si>
    <t xml:space="preserve">    + Discontinued Operations</t>
  </si>
  <si>
    <t xml:space="preserve">    + XO &amp; Accounting Changes</t>
  </si>
  <si>
    <t>Income (Loss) Incl. MI</t>
  </si>
  <si>
    <t xml:space="preserve">  - Minority Interest</t>
  </si>
  <si>
    <t>Net Income, GAAP</t>
  </si>
  <si>
    <t xml:space="preserve">  - Preferred Dividends</t>
  </si>
  <si>
    <t xml:space="preserve">  - Other Adjustments</t>
  </si>
  <si>
    <t>Net Income Avail to Common, GAAP</t>
  </si>
  <si>
    <t>Net Income Avail to Common, Adj</t>
  </si>
  <si>
    <t xml:space="preserve">  Net Abnormal Losses (Gains)</t>
  </si>
  <si>
    <t xml:space="preserve">  Net Extraordinary Losses (Gains)</t>
  </si>
  <si>
    <t>Basic Weighted Avg Shares</t>
  </si>
  <si>
    <t>Basic EPS, GAAP</t>
  </si>
  <si>
    <t>Basic EPS from Cont Ops, GAAP</t>
  </si>
  <si>
    <t>Basic EPS from Cont Ops, Adjusted</t>
  </si>
  <si>
    <t>Diluted Weighted Avg Shares</t>
  </si>
  <si>
    <t>Diluted EPS, GAAP</t>
  </si>
  <si>
    <t>Diluted EPS from Cont Ops, GAAP</t>
  </si>
  <si>
    <t>Diluted EPS from Cont Ops, Adjusted</t>
  </si>
  <si>
    <t>Reference Items</t>
  </si>
  <si>
    <t>Accounting Standard</t>
  </si>
  <si>
    <t>US GAAP</t>
  </si>
  <si>
    <t>EBITDA</t>
  </si>
  <si>
    <t>EBITDA Margin (T12M)</t>
  </si>
  <si>
    <t>EBITA</t>
  </si>
  <si>
    <t>Gross Margin</t>
  </si>
  <si>
    <t>Operating Margin</t>
  </si>
  <si>
    <t>Profit Margin</t>
  </si>
  <si>
    <t>Sales per Employee</t>
  </si>
  <si>
    <t>Dividends per Share</t>
  </si>
  <si>
    <t>Capitalized Interest Expense</t>
  </si>
  <si>
    <t>Rental Expense</t>
  </si>
  <si>
    <t>Starbucks Corp (SBUX US) - Standardized</t>
  </si>
  <si>
    <t xml:space="preserve">  + Cash, Cash Equivalents &amp; STI</t>
  </si>
  <si>
    <t xml:space="preserve">    + Cash &amp; Cash Equivalents</t>
  </si>
  <si>
    <t xml:space="preserve">    + ST Investments</t>
  </si>
  <si>
    <t xml:space="preserve">  + Accounts &amp; Notes Receiv</t>
  </si>
  <si>
    <t xml:space="preserve">    + Accounts Receivable, Net</t>
  </si>
  <si>
    <t xml:space="preserve">    + Notes Receivable, Net</t>
  </si>
  <si>
    <t xml:space="preserve">  + Inventories</t>
  </si>
  <si>
    <t xml:space="preserve">    + Raw Materials</t>
  </si>
  <si>
    <t xml:space="preserve">    + Work In Process</t>
  </si>
  <si>
    <t xml:space="preserve">    + Finished Goods</t>
  </si>
  <si>
    <t xml:space="preserve">    + Other Inventory</t>
  </si>
  <si>
    <t xml:space="preserve">  + Other ST Assets</t>
  </si>
  <si>
    <t xml:space="preserve">    + Derivative &amp; Hedging Assets</t>
  </si>
  <si>
    <t xml:space="preserve">    + Deferred Tax Assets</t>
  </si>
  <si>
    <t xml:space="preserve">    + Taxes Receivable</t>
  </si>
  <si>
    <t xml:space="preserve">    + Misc ST Assets</t>
  </si>
  <si>
    <t xml:space="preserve">  + Property, Plant &amp; Equip, Net</t>
  </si>
  <si>
    <t xml:space="preserve">    + Property, Plant &amp; Equip</t>
  </si>
  <si>
    <t xml:space="preserve">    - Accumulated Depreciation</t>
  </si>
  <si>
    <t xml:space="preserve">  + LT Investments &amp; Receivables</t>
  </si>
  <si>
    <t xml:space="preserve">    + LT Investments</t>
  </si>
  <si>
    <t xml:space="preserve">  + Other LT Assets</t>
  </si>
  <si>
    <t xml:space="preserve">    + Total Intangible Assets</t>
  </si>
  <si>
    <t xml:space="preserve">    + Goodwill</t>
  </si>
  <si>
    <t xml:space="preserve">    + Other Intangible Assets</t>
  </si>
  <si>
    <t xml:space="preserve">    + Investments in Affiliates</t>
  </si>
  <si>
    <t xml:space="preserve">    + Misc LT Assets</t>
  </si>
  <si>
    <t>Total Noncurrent Assets</t>
  </si>
  <si>
    <t xml:space="preserve">% of growth </t>
  </si>
  <si>
    <t xml:space="preserve">Adjusted Tax Expense </t>
  </si>
  <si>
    <t xml:space="preserve">Interest Tax Shield </t>
  </si>
  <si>
    <t>1. Interest Tax Shield=Interest Expense×Statutory Corporate Tax Rate</t>
  </si>
  <si>
    <t>2.Adjusted Tax Expense=Reported Tax Expense+Interest Tax Shield</t>
  </si>
  <si>
    <t>3. Adjusted Tax Rate=  Adjusted Tax Expense/EBIT</t>
  </si>
  <si>
    <t xml:space="preserve">
Tax Expense+(Interest Expense×Corporate Tax Rate)/EBIT
​</t>
  </si>
  <si>
    <t>Liabilities &amp; Shareholders' Equity</t>
  </si>
  <si>
    <t xml:space="preserve">  + Payables &amp; Accruals</t>
  </si>
  <si>
    <t xml:space="preserve">    + Accounts Payable</t>
  </si>
  <si>
    <t xml:space="preserve">    + Accrued Taxes</t>
  </si>
  <si>
    <t xml:space="preserve">    + Interest &amp; Dividends Payable</t>
  </si>
  <si>
    <t xml:space="preserve">    + Other Payables &amp; Accruals</t>
  </si>
  <si>
    <t xml:space="preserve">  + ST Debt</t>
  </si>
  <si>
    <t xml:space="preserve">    + ST Borrowings</t>
  </si>
  <si>
    <t xml:space="preserve">    + ST Lease Liabilities</t>
  </si>
  <si>
    <t xml:space="preserve">      + ST Finance Leases</t>
  </si>
  <si>
    <t xml:space="preserve">      + ST Operating Leases</t>
  </si>
  <si>
    <t xml:space="preserve">    + Current Portion of LT Debt</t>
  </si>
  <si>
    <t xml:space="preserve">  + Other ST Liabilities</t>
  </si>
  <si>
    <t xml:space="preserve">    + Deferred Revenue</t>
  </si>
  <si>
    <t xml:space="preserve">    + Derivatives &amp; Hedging</t>
  </si>
  <si>
    <t xml:space="preserve">    + Misc ST Liabilities</t>
  </si>
  <si>
    <t xml:space="preserve">  + LT Debt</t>
  </si>
  <si>
    <t xml:space="preserve">    + LT Borrowings</t>
  </si>
  <si>
    <t xml:space="preserve">    + LT Lease Liabilities</t>
  </si>
  <si>
    <t xml:space="preserve">      + LT Finance Leases</t>
  </si>
  <si>
    <t xml:space="preserve">      + LT Operating Leases</t>
  </si>
  <si>
    <t xml:space="preserve">  + Other LT Liabilities</t>
  </si>
  <si>
    <t xml:space="preserve">    + Accrued Liabilities</t>
  </si>
  <si>
    <t xml:space="preserve">    + Pension Liabilities</t>
  </si>
  <si>
    <t xml:space="preserve">    + Pensions</t>
  </si>
  <si>
    <t xml:space="preserve">    + Other Post-Ret Benefits</t>
  </si>
  <si>
    <t xml:space="preserve">    + Deferred Tax Liabilities</t>
  </si>
  <si>
    <t xml:space="preserve">    + Misc LT Liabilities</t>
  </si>
  <si>
    <t xml:space="preserve">  + Preferred Equity and Hybrid Capital</t>
  </si>
  <si>
    <t xml:space="preserve">  + Share Capital &amp; APIC</t>
  </si>
  <si>
    <t xml:space="preserve">    + Common Stock</t>
  </si>
  <si>
    <t xml:space="preserve">    + Additional Paid in Capital</t>
  </si>
  <si>
    <t xml:space="preserve">  - Treasury Stock</t>
  </si>
  <si>
    <t xml:space="preserve">  + Retained Earnings</t>
  </si>
  <si>
    <t xml:space="preserve">  + Other Equity</t>
  </si>
  <si>
    <t>Equity Before Minority Interest</t>
  </si>
  <si>
    <t xml:space="preserve">  + Minority/Non Controlling Interest</t>
  </si>
  <si>
    <t>Total Equity</t>
  </si>
  <si>
    <t>Total Liabilities &amp; Equity</t>
  </si>
  <si>
    <t>Number of Treasury Shares</t>
  </si>
  <si>
    <t>Pension Obligations</t>
  </si>
  <si>
    <t>Capital Leases - Total</t>
  </si>
  <si>
    <t>Options Outstanding at Period End</t>
  </si>
  <si>
    <t>Net Debt</t>
  </si>
  <si>
    <t>Net Debt to Equity</t>
  </si>
  <si>
    <t>Tangible Common Equity Ratio</t>
  </si>
  <si>
    <t>Current Ratio</t>
  </si>
  <si>
    <t>Cash Conversion Cycle</t>
  </si>
  <si>
    <t>Cash Held Overseas</t>
  </si>
  <si>
    <t xml:space="preserve">Unlevered FCF </t>
  </si>
  <si>
    <t>Year</t>
  </si>
  <si>
    <t>WACC</t>
  </si>
  <si>
    <t>Segment</t>
  </si>
  <si>
    <t>North America</t>
  </si>
  <si>
    <t>International</t>
  </si>
  <si>
    <t>Channel Development</t>
  </si>
  <si>
    <t>TOTAL COMPANY</t>
  </si>
  <si>
    <t>REVENUE AS % OF TOTAL</t>
  </si>
  <si>
    <t xml:space="preserve">% YoY grwoth </t>
  </si>
  <si>
    <t>% YoY growth</t>
  </si>
  <si>
    <t xml:space="preserve">% YoY growth </t>
  </si>
  <si>
    <t>Store Type</t>
  </si>
  <si>
    <t>Company-Operated</t>
  </si>
  <si>
    <t>Licensed</t>
  </si>
  <si>
    <t>TOTAL STORES</t>
  </si>
  <si>
    <t xml:space="preserve"> % YoY growth</t>
  </si>
  <si>
    <t>Total Store CAGR</t>
  </si>
  <si>
    <t>Revenue per Store ($M)</t>
  </si>
  <si>
    <t xml:space="preserve">% YoY Growth </t>
  </si>
  <si>
    <t>Region wise</t>
  </si>
  <si>
    <t>Cogs</t>
  </si>
  <si>
    <t>Operating Expenses</t>
  </si>
  <si>
    <t xml:space="preserve">  Revenue </t>
  </si>
  <si>
    <t>Base Case</t>
  </si>
  <si>
    <t xml:space="preserve">Net Working Capital </t>
  </si>
  <si>
    <t>SBUX</t>
  </si>
  <si>
    <t xml:space="preserve">%Effective tax rate </t>
  </si>
  <si>
    <t>WACC Calculation</t>
  </si>
  <si>
    <t>Cost of Debt</t>
  </si>
  <si>
    <t>Tax rate</t>
  </si>
  <si>
    <t>Cost of Equity</t>
  </si>
  <si>
    <t xml:space="preserve">Risk-free (10-year Treasury) </t>
  </si>
  <si>
    <t>Debt/(Debt+Equity)</t>
  </si>
  <si>
    <t>Equity risk premium</t>
  </si>
  <si>
    <t>Equity Beta</t>
  </si>
  <si>
    <t>Growth Rate</t>
  </si>
  <si>
    <t xml:space="preserve">equity </t>
  </si>
  <si>
    <t xml:space="preserve">debt </t>
  </si>
  <si>
    <t xml:space="preserve">Average </t>
  </si>
  <si>
    <t>Bond Maturity</t>
  </si>
  <si>
    <t>After-Tax Cost of Debt=YTM⋅(1−Tax Rate)</t>
  </si>
  <si>
    <t>Tax Rate</t>
  </si>
  <si>
    <t>(YTM)</t>
  </si>
  <si>
    <t>Country</t>
  </si>
  <si>
    <t>ERP (%)</t>
  </si>
  <si>
    <t>Weighted ERP</t>
  </si>
  <si>
    <t>US</t>
  </si>
  <si>
    <t>China</t>
  </si>
  <si>
    <t>Canada</t>
  </si>
  <si>
    <t>Japan</t>
  </si>
  <si>
    <t>UK</t>
  </si>
  <si>
    <t>Total Weighted ERP</t>
  </si>
  <si>
    <t>Bloomberg</t>
  </si>
  <si>
    <t xml:space="preserve">Calculated </t>
  </si>
  <si>
    <t xml:space="preserve">Sources </t>
  </si>
  <si>
    <t>Calculated Avg</t>
  </si>
  <si>
    <t>Calculated  Avg</t>
  </si>
  <si>
    <t>WAAC</t>
  </si>
  <si>
    <t xml:space="preserve">Share Price </t>
  </si>
  <si>
    <t xml:space="preserve">Enterprise Value </t>
  </si>
  <si>
    <t xml:space="preserve">Weight(%) by Region sales </t>
  </si>
  <si>
    <t xml:space="preserve"> Other Operating Income </t>
  </si>
  <si>
    <t xml:space="preserve">Growth  Rate </t>
  </si>
  <si>
    <t>Region</t>
  </si>
  <si>
    <t>Weight (Revenue %)</t>
  </si>
  <si>
    <t>USA</t>
  </si>
  <si>
    <t>India</t>
  </si>
  <si>
    <t>UAE</t>
  </si>
  <si>
    <t>Forecasted Real GDP Grwth</t>
  </si>
  <si>
    <t xml:space="preserve">Weigth terminal Growth Rate </t>
  </si>
  <si>
    <t xml:space="preserve">Calucated by Regression pst 10 years </t>
  </si>
  <si>
    <t xml:space="preserve">Avg calculated </t>
  </si>
  <si>
    <t xml:space="preserve">Equity </t>
  </si>
  <si>
    <t xml:space="preserve">Debt </t>
  </si>
  <si>
    <t xml:space="preserve">Weighted Growth </t>
  </si>
  <si>
    <t>Forecasted Real GDP Growth</t>
  </si>
  <si>
    <t>CAGR 2015-24</t>
  </si>
  <si>
    <t>CAGR 2025-34</t>
  </si>
  <si>
    <t>CAGR 2019-24</t>
  </si>
  <si>
    <t>CAGR 2021-24</t>
  </si>
  <si>
    <t>Equity Value</t>
  </si>
  <si>
    <t xml:space="preserve">Growth Rate </t>
  </si>
  <si>
    <t xml:space="preserve">Discounted Terminal Value </t>
  </si>
  <si>
    <t>TV = FCFF in final year × (1 + g) / (WACC – g)</t>
  </si>
  <si>
    <t>FCFF = EBIT × (1 - Tax Rate) + D&amp;A – CAPEX – ∆Working Capital</t>
  </si>
  <si>
    <t>Calucation of CAPEX</t>
  </si>
  <si>
    <t>CAPEX</t>
  </si>
  <si>
    <t>Change in NET PP&amp;E</t>
  </si>
  <si>
    <t>Depreciation &amp; Amortization</t>
  </si>
  <si>
    <t xml:space="preserve">YoY Growth </t>
  </si>
  <si>
    <t xml:space="preserve">Revenue </t>
  </si>
  <si>
    <t xml:space="preserve">% of revenue </t>
  </si>
  <si>
    <t>CAPEX/ Net PP&amp;E Ratio</t>
  </si>
  <si>
    <t>CAPEX/STORE count</t>
  </si>
  <si>
    <t xml:space="preserve">Average of D&amp;A of Revenue </t>
  </si>
  <si>
    <t>Net PP&amp;E/ Stores</t>
  </si>
  <si>
    <t xml:space="preserve">Net PP&amp;E </t>
  </si>
  <si>
    <t>2025F</t>
  </si>
  <si>
    <t>Asset-Based, Bottom-Up CAPEX Forecasting</t>
  </si>
  <si>
    <t>Calulation of Net Working Capital</t>
  </si>
  <si>
    <t>Company-Operated CAGR</t>
  </si>
  <si>
    <t>Licensed CAGR</t>
  </si>
  <si>
    <t>Average of NET PP&amp;E of Revenue from 2021-24</t>
  </si>
  <si>
    <t>Less: Change in NWC</t>
  </si>
  <si>
    <t>STARBUCKS US (SBUX) DFC Model</t>
  </si>
  <si>
    <t>EBIAT</t>
  </si>
  <si>
    <t xml:space="preserve">Operating current Assets </t>
  </si>
  <si>
    <t xml:space="preserve">Operating Current Libalities </t>
  </si>
  <si>
    <t xml:space="preserve">Net Working capital </t>
  </si>
  <si>
    <t xml:space="preserve">Change in Net Working capital </t>
  </si>
  <si>
    <t>NWC = Operating current Assets - Operating current Liabilities</t>
  </si>
  <si>
    <t>Operating current assets = Accounts Receivable + Inventories + Other Current Assets + Finance Receivables + Contract assets</t>
  </si>
  <si>
    <t>Operating current liabilities = Accounts Payable + Accrued Expenses + Contract Liabilities</t>
  </si>
  <si>
    <t>Average of NWC 2021-24</t>
  </si>
  <si>
    <t>Average of NWC 2015-24</t>
  </si>
  <si>
    <t xml:space="preserve">Type of store </t>
  </si>
  <si>
    <t xml:space="preserve">Revenue Forecast by Per Store </t>
  </si>
  <si>
    <t>Share Price</t>
  </si>
  <si>
    <t xml:space="preserve">Enterpise Value </t>
  </si>
  <si>
    <t>cost of debt</t>
  </si>
  <si>
    <t>% of revenue</t>
  </si>
  <si>
    <t>Stock price as 30-07-2025</t>
  </si>
  <si>
    <t xml:space="preserve">Primary Approach -Revenue Forecaste by Segmentation </t>
  </si>
  <si>
    <t>Secondary Approach- Revenue Forecasted by Per Store</t>
  </si>
  <si>
    <t xml:space="preserve">Total Revenue Forecasted by Per Store </t>
  </si>
  <si>
    <t xml:space="preserve">Store Growth Forecasted </t>
  </si>
  <si>
    <t>Calcualtion</t>
  </si>
  <si>
    <t>Historical</t>
  </si>
  <si>
    <t xml:space="preserve">Forecasted </t>
  </si>
  <si>
    <t>EV/EBITDA</t>
  </si>
  <si>
    <t xml:space="preserve">Starbucks </t>
  </si>
  <si>
    <t xml:space="preserve">Peers Average </t>
  </si>
  <si>
    <t xml:space="preserve">Deviations </t>
  </si>
  <si>
    <t xml:space="preserve">McDonald's Crop </t>
  </si>
  <si>
    <t>Chipotle Mexican Grill Inc</t>
  </si>
  <si>
    <t xml:space="preserve">Yum! Brands Inc </t>
  </si>
  <si>
    <t xml:space="preserve">Restaurant Brands International Inc </t>
  </si>
  <si>
    <t xml:space="preserve">Yum china Holding Inc </t>
  </si>
  <si>
    <t xml:space="preserve">Wingstop Inc </t>
  </si>
  <si>
    <t>Starbucks Corp (SBUX US) - PR</t>
  </si>
  <si>
    <t>Company</t>
  </si>
  <si>
    <t>P/E Ratio=Share Price/EPS</t>
  </si>
  <si>
    <t>EV/EBITDA = Enterprise Value/EBITDA</t>
  </si>
  <si>
    <t>EV/EBIT= Enterprise Value/EBIT</t>
  </si>
  <si>
    <t>EV/REVENUE = Enterprise Value/Revenue</t>
  </si>
  <si>
    <t>P/E</t>
  </si>
  <si>
    <t>P/E Ratio</t>
  </si>
  <si>
    <t>Enterprise Value</t>
  </si>
  <si>
    <t>McDonald's Corp (MCD US) - PR</t>
  </si>
  <si>
    <t>12/31/2023</t>
  </si>
  <si>
    <t>12/31/2024</t>
  </si>
  <si>
    <t>EV/EBIT</t>
  </si>
  <si>
    <t>Chipotle Mexican Grill Inc (CMG US) - PR</t>
  </si>
  <si>
    <t>EV/REVENUE</t>
  </si>
  <si>
    <t>Yum! Brands Inc (YUM US) - PR</t>
  </si>
  <si>
    <t>Restaurant Brands International Inc (QSR CN) - PR</t>
  </si>
  <si>
    <t>Yum China Holdings Inc (YUMC US) - PR</t>
  </si>
  <si>
    <t>Wingstop Inc (WING US) - PR</t>
  </si>
  <si>
    <t>12/30/2023</t>
  </si>
  <si>
    <t>12/28/2024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</si>
  <si>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</si>
  <si>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</si>
  <si>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</si>
  <si>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</si>
  <si>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</si>
  <si>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</si>
  <si>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</si>
  <si>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</si>
  <si>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</si>
  <si>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</si>
  <si>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</si>
  <si>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</si>
  <si>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</si>
  <si>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</si>
  <si>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</si>
  <si>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</si>
  <si>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</si>
  <si>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</si>
  <si>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</si>
  <si>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</si>
  <si>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</si>
  <si>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</si>
  <si>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</si>
  <si>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</si>
  <si>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</si>
  <si>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Date</t>
  </si>
  <si>
    <t>SPX</t>
  </si>
  <si>
    <t>SBUX RETURNS</t>
  </si>
  <si>
    <t>SPX RETURNS</t>
  </si>
  <si>
    <t xml:space="preserve"> Implied Stock Price</t>
  </si>
  <si>
    <t xml:space="preserve"> 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</si>
</sst>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General&quot;A&quot;"/>
    <numFmt numFmtId="165" formatCode="General&quot;F&quot;"/>
    <numFmt numFmtId="166" formatCode="_-[$$-409]* #,##0.00_ ;_-[$$-409]* \-#,##0.00\ ;_-[$$-409]* &quot;-&quot;??_ ;_-@_ "/>
    <numFmt numFmtId="167" formatCode="0.0%"/>
    <numFmt numFmtId="168" formatCode="_ * #,##0.0_ ;_ * \-#,##0.0_ ;_ * &quot;-&quot;??_ ;_ @_ "/>
    <numFmt numFmtId="169" formatCode="0.000%"/>
    <numFmt numFmtId="170" formatCode="_(* #,##0.00_);_(* \(#,##0.00\);_(* &quot;-&quot;??_);_(@_)"/>
    <numFmt numFmtId="171" formatCode="_ * #,##0_ ;_ * \-#,##0_ ;_ * &quot;-&quot;??_ ;_ @_ "/>
    <numFmt numFmtId="172" formatCode="0.000"/>
    <numFmt numFmtId="173" formatCode="0.0"/>
  </numFmts>
  <fonts count="10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Arial"/>
      <family val="2"/>
    </font>
    <font>
      <sz val="10"/>
      <name val="Calibri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10"/>
      <color rgb="FF333333"/>
      <name val="Arial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i/>
      <sz val="14"/>
      <color rgb="FFFF0000"/>
      <name val="Calibri"/>
      <family val="2"/>
    </font>
    <font>
      <i/>
      <sz val="14"/>
      <color rgb="FFFF0000"/>
      <name val="Calibri"/>
      <family val="2"/>
    </font>
    <font>
      <b/>
      <sz val="14"/>
      <color theme="1"/>
      <name val="Calibri"/>
      <family val="2"/>
    </font>
    <font>
      <i/>
      <sz val="14"/>
      <color theme="5" tint="-0.249977111117893"/>
      <name val="Calibri"/>
      <family val="2"/>
    </font>
    <font>
      <b/>
      <i/>
      <sz val="14"/>
      <color theme="1"/>
      <name val="Calibri"/>
      <family val="2"/>
    </font>
    <font>
      <b/>
      <sz val="14"/>
      <color rgb="FFFF000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color rgb="FF333333"/>
      <name val="Arial"/>
      <family val="2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0"/>
      <color theme="2" tint="-0.499984740745262"/>
      <name val="Aptos Narrow"/>
      <family val="2"/>
      <scheme val="minor"/>
    </font>
    <font>
      <i/>
      <sz val="10"/>
      <color theme="0" tint="-0.499984740745262"/>
      <name val="Aptos Narrow"/>
      <family val="2"/>
      <scheme val="minor"/>
    </font>
    <font>
      <i/>
      <sz val="10"/>
      <color rgb="FFC00000"/>
      <name val="Aptos Narrow"/>
      <family val="2"/>
      <scheme val="minor"/>
    </font>
    <font>
      <sz val="10"/>
      <color rgb="FFC00000"/>
      <name val="Aptos Narrow"/>
      <family val="2"/>
      <scheme val="minor"/>
    </font>
    <font>
      <sz val="10"/>
      <color theme="2" tint="-0.74999237037263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0"/>
      <color theme="2" tint="-0.499984740745262"/>
      <name val="Aptos Narrow"/>
      <family val="2"/>
      <scheme val="minor"/>
    </font>
    <font>
      <b/>
      <i/>
      <sz val="10"/>
      <color theme="2" tint="-0.499984740745262"/>
      <name val="Aptos Narrow"/>
      <family val="2"/>
      <scheme val="minor"/>
    </font>
    <font>
      <b/>
      <sz val="10"/>
      <color theme="2" tint="-0.499984740745262"/>
      <name val="Aptos Narrow"/>
      <family val="2"/>
      <scheme val="minor"/>
    </font>
    <font>
      <b/>
      <sz val="18"/>
      <color rgb="FF2F6E4D"/>
      <name val="Aptos Narrow"/>
      <family val="2"/>
      <scheme val="minor"/>
    </font>
    <font>
      <sz val="9"/>
      <name val="Helv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9"/>
      <name val="GS TheSans"/>
    </font>
    <font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b/>
      <sz val="10"/>
      <color rgb="FF2F6E4D"/>
      <name val="Calibri"/>
      <family val="2"/>
    </font>
    <font>
      <sz val="10"/>
      <color rgb="FF2F6E4D"/>
      <name val="Calibri"/>
      <family val="2"/>
    </font>
    <font>
      <sz val="11"/>
      <color rgb="FF2F6E4D"/>
      <name val="Calibri"/>
      <family val="2"/>
    </font>
    <font>
      <sz val="12"/>
      <name val="Aptos Narrow"/>
      <family val="2"/>
      <scheme val="minor"/>
    </font>
    <font>
      <sz val="11"/>
      <color theme="1"/>
      <name val="Calibri"/>
      <family val="2"/>
    </font>
    <font>
      <i/>
      <sz val="10"/>
      <color theme="2" tint="-0.749992370372631"/>
      <name val="Aptos Narrow"/>
      <family val="2"/>
      <scheme val="minor"/>
    </font>
    <font>
      <i/>
      <sz val="12"/>
      <color theme="2" tint="-0.749992370372631"/>
      <name val="Aptos Narrow"/>
      <family val="2"/>
      <scheme val="minor"/>
    </font>
    <font>
      <sz val="10"/>
      <color theme="1" tint="4.9989318521683403E-2"/>
      <name val="Aptos Narrow"/>
      <family val="2"/>
    </font>
    <font>
      <b/>
      <sz val="1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theme="1"/>
      <name val="Aptos Display"/>
      <family val="2"/>
      <scheme val="major"/>
    </font>
    <font>
      <b/>
      <sz val="14"/>
      <color rgb="FF2F6E4D"/>
      <name val="Aptos Narrow"/>
      <family val="2"/>
      <scheme val="minor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sz val="11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2F6E4D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0"/>
      <color theme="1" tint="0.34998626667073579"/>
      <name val="Calibri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i/>
      <sz val="10"/>
      <color rgb="FFFF0000"/>
      <name val="Calibri"/>
      <family val="2"/>
    </font>
    <font>
      <b/>
      <sz val="14"/>
      <color rgb="FF2F6E4D"/>
      <name val="Calibri"/>
      <family val="2"/>
    </font>
    <font>
      <i/>
      <sz val="9"/>
      <color rgb="FFFF0000"/>
      <name val="Calibri"/>
      <family val="2"/>
    </font>
    <font>
      <sz val="9"/>
      <color theme="1"/>
      <name val="Calibri"/>
      <family val="2"/>
    </font>
    <font>
      <i/>
      <sz val="14"/>
      <color theme="1"/>
      <name val="Calibri"/>
      <family val="2"/>
    </font>
    <font>
      <i/>
      <sz val="12"/>
      <color theme="1"/>
      <name val="Calibri"/>
      <family val="2"/>
    </font>
    <font>
      <sz val="12"/>
      <color theme="1"/>
      <name val="Calibri"/>
      <family val="2"/>
    </font>
    <font>
      <i/>
      <sz val="10"/>
      <color rgb="FF393939"/>
      <name val="Aptos Narrow"/>
      <family val="2"/>
    </font>
    <font>
      <b/>
      <sz val="14"/>
      <color theme="0"/>
      <name val="Calibri"/>
      <family val="2"/>
    </font>
    <font>
      <b/>
      <sz val="18"/>
      <name val="Calibri"/>
      <family val="2"/>
    </font>
    <font>
      <b/>
      <sz val="16"/>
      <color theme="1"/>
      <name val="Calibri"/>
      <family val="2"/>
    </font>
    <font>
      <b/>
      <sz val="14"/>
      <color theme="0"/>
      <name val="Aptos Narrow"/>
      <family val="2"/>
      <scheme val="minor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6"/>
      <color theme="0"/>
      <name val="Calibri"/>
      <family val="2"/>
    </font>
    <font>
      <i/>
      <sz val="16"/>
      <color theme="5" tint="-0.249977111117893"/>
      <name val="Calibri"/>
      <family val="2"/>
    </font>
    <font>
      <sz val="11"/>
      <color rgb="FF000000"/>
      <name val="Aptos Narrow"/>
      <family val="2"/>
      <scheme val="minor"/>
    </font>
    <font>
      <sz val="11"/>
      <color rgb="FF2F6E4D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4F81B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9E3C0"/>
        <bgColor indexed="64"/>
      </patternFill>
    </fill>
    <fill>
      <patternFill patternType="solid">
        <fgColor rgb="FF2F6E4D"/>
        <bgColor indexed="64"/>
      </patternFill>
    </fill>
    <fill>
      <patternFill patternType="solid">
        <fgColor rgb="FFD9E3C0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</fills>
  <borders count="8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/>
      <top style="hair">
        <color indexed="64"/>
      </top>
      <bottom style="medium">
        <color theme="1"/>
      </bottom>
      <diagonal/>
    </border>
    <border>
      <left/>
      <right style="medium">
        <color theme="1"/>
      </right>
      <top style="hair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theme="1"/>
      </bottom>
      <diagonal/>
    </border>
    <border>
      <left/>
      <right/>
      <top/>
      <bottom style="medium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theme="1"/>
      </bottom>
      <diagonal/>
    </border>
    <border>
      <left style="medium">
        <color indexed="64"/>
      </left>
      <right/>
      <top style="hair">
        <color indexed="64"/>
      </top>
      <bottom style="medium">
        <color theme="1"/>
      </bottom>
      <diagonal/>
    </border>
    <border>
      <left/>
      <right style="medium">
        <color indexed="64"/>
      </right>
      <top style="hair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</borders>
  <cellStyleXfs count="4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4" fillId="5" borderId="0"/>
    <xf numFmtId="0" fontId="15" fillId="5" borderId="5">
      <alignment horizontal="right"/>
    </xf>
    <xf numFmtId="43" fontId="1" fillId="0" borderId="0" applyFont="0" applyFill="0" applyBorder="0" applyAlignment="0" applyProtection="0"/>
    <xf numFmtId="0" fontId="47" fillId="0" borderId="0"/>
    <xf numFmtId="170" fontId="51" fillId="0" borderId="0" applyFont="0" applyFill="0" applyBorder="0" applyAlignment="0" applyProtection="0"/>
    <xf numFmtId="0" fontId="74" fillId="0" borderId="51" applyNumberFormat="0" applyFill="0" applyAlignment="0" applyProtection="0"/>
    <xf numFmtId="0" fontId="75" fillId="0" borderId="52" applyNumberFormat="0" applyFill="0" applyAlignment="0" applyProtection="0"/>
    <xf numFmtId="0" fontId="75" fillId="0" borderId="0" applyNumberFormat="0" applyFill="0" applyBorder="0" applyAlignment="0" applyProtection="0"/>
    <xf numFmtId="0" fontId="76" fillId="16" borderId="0" applyNumberFormat="0" applyBorder="0" applyAlignment="0" applyProtection="0"/>
    <xf numFmtId="0" fontId="77" fillId="17" borderId="0" applyNumberFormat="0" applyBorder="0" applyAlignment="0" applyProtection="0"/>
    <xf numFmtId="0" fontId="78" fillId="19" borderId="53" applyNumberFormat="0" applyAlignment="0" applyProtection="0"/>
    <xf numFmtId="0" fontId="79" fillId="20" borderId="54" applyNumberFormat="0" applyAlignment="0" applyProtection="0"/>
    <xf numFmtId="0" fontId="80" fillId="20" borderId="53" applyNumberFormat="0" applyAlignment="0" applyProtection="0"/>
    <xf numFmtId="0" fontId="81" fillId="0" borderId="55" applyNumberFormat="0" applyFill="0" applyAlignment="0" applyProtection="0"/>
    <xf numFmtId="0" fontId="3" fillId="21" borderId="56" applyNumberFormat="0" applyAlignment="0" applyProtection="0"/>
    <xf numFmtId="0" fontId="82" fillId="0" borderId="0" applyNumberFormat="0" applyFill="0" applyBorder="0" applyAlignment="0" applyProtection="0"/>
    <xf numFmtId="0" fontId="1" fillId="22" borderId="57" applyNumberFormat="0" applyFont="0" applyAlignment="0" applyProtection="0"/>
    <xf numFmtId="0" fontId="83" fillId="0" borderId="0" applyNumberFormat="0" applyFill="0" applyBorder="0" applyAlignment="0" applyProtection="0"/>
    <xf numFmtId="0" fontId="4" fillId="0" borderId="58" applyNumberFormat="0" applyFill="0" applyAlignment="0" applyProtection="0"/>
    <xf numFmtId="0" fontId="8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8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8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84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84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84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84" fillId="26" borderId="0" applyNumberFormat="0" applyBorder="0" applyAlignment="0" applyProtection="0"/>
    <xf numFmtId="0" fontId="84" fillId="30" borderId="0" applyNumberFormat="0" applyBorder="0" applyAlignment="0" applyProtection="0"/>
    <xf numFmtId="0" fontId="84" fillId="34" borderId="0" applyNumberFormat="0" applyBorder="0" applyAlignment="0" applyProtection="0"/>
    <xf numFmtId="0" fontId="84" fillId="38" borderId="0" applyNumberFormat="0" applyBorder="0" applyAlignment="0" applyProtection="0"/>
    <xf numFmtId="0" fontId="84" fillId="42" borderId="0" applyNumberFormat="0" applyBorder="0" applyAlignment="0" applyProtection="0"/>
    <xf numFmtId="0" fontId="84" fillId="46" borderId="0" applyNumberFormat="0" applyBorder="0" applyAlignment="0" applyProtection="0"/>
    <xf numFmtId="0" fontId="87" fillId="18" borderId="0" applyNumberFormat="0" applyBorder="0" applyAlignment="0" applyProtection="0"/>
    <xf numFmtId="0" fontId="86" fillId="0" borderId="0" applyNumberFormat="0" applyFill="0" applyBorder="0" applyAlignment="0" applyProtection="0"/>
  </cellStyleXfs>
  <cellXfs count="595">
    <xf numFmtId="0" fontId="0" fillId="0" borderId="0" xfId="0"/>
    <xf numFmtId="9" fontId="0" fillId="0" borderId="0" xfId="2" applyFont="1"/>
    <xf numFmtId="0" fontId="4" fillId="0" borderId="0" xfId="0" applyFont="1"/>
    <xf numFmtId="0" fontId="5" fillId="2" borderId="0" xfId="0" applyFont="1" applyFill="1"/>
    <xf numFmtId="0" fontId="6" fillId="2" borderId="3" xfId="0" applyFont="1" applyFill="1" applyBorder="1" applyAlignment="1">
      <alignment horizontal="left" vertical="center" readingOrder="1"/>
    </xf>
    <xf numFmtId="0" fontId="7" fillId="3" borderId="0" xfId="0" applyFont="1" applyFill="1" applyAlignment="1">
      <alignment horizontal="center"/>
    </xf>
    <xf numFmtId="0" fontId="8" fillId="2" borderId="4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right"/>
    </xf>
    <xf numFmtId="0" fontId="8" fillId="2" borderId="5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right"/>
    </xf>
    <xf numFmtId="14" fontId="8" fillId="2" borderId="5" xfId="0" applyNumberFormat="1" applyFont="1" applyFill="1" applyBorder="1" applyAlignment="1">
      <alignment horizontal="right"/>
    </xf>
    <xf numFmtId="0" fontId="9" fillId="3" borderId="6" xfId="0" applyFont="1" applyFill="1" applyBorder="1"/>
    <xf numFmtId="0" fontId="9" fillId="3" borderId="2" xfId="0" applyFont="1" applyFill="1" applyBorder="1" applyAlignment="1">
      <alignment horizontal="right"/>
    </xf>
    <xf numFmtId="0" fontId="10" fillId="3" borderId="6" xfId="0" applyFont="1" applyFill="1" applyBorder="1"/>
    <xf numFmtId="0" fontId="11" fillId="3" borderId="2" xfId="0" applyFont="1" applyFill="1" applyBorder="1" applyAlignment="1">
      <alignment horizontal="right"/>
    </xf>
    <xf numFmtId="4" fontId="11" fillId="3" borderId="2" xfId="0" applyNumberFormat="1" applyFont="1" applyFill="1" applyBorder="1" applyAlignment="1">
      <alignment horizontal="right"/>
    </xf>
    <xf numFmtId="4" fontId="9" fillId="3" borderId="2" xfId="0" applyNumberFormat="1" applyFont="1" applyFill="1" applyBorder="1" applyAlignment="1">
      <alignment horizontal="right"/>
    </xf>
    <xf numFmtId="0" fontId="12" fillId="4" borderId="7" xfId="0" applyFont="1" applyFill="1" applyBorder="1"/>
    <xf numFmtId="10" fontId="0" fillId="0" borderId="0" xfId="0" applyNumberFormat="1"/>
    <xf numFmtId="0" fontId="13" fillId="3" borderId="6" xfId="0" applyFont="1" applyFill="1" applyBorder="1"/>
    <xf numFmtId="0" fontId="12" fillId="3" borderId="2" xfId="0" applyFont="1" applyFill="1" applyBorder="1" applyAlignment="1">
      <alignment horizontal="right"/>
    </xf>
    <xf numFmtId="4" fontId="12" fillId="3" borderId="2" xfId="0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10" fontId="0" fillId="0" borderId="0" xfId="2" applyNumberFormat="1" applyFont="1"/>
    <xf numFmtId="0" fontId="18" fillId="0" borderId="0" xfId="0" applyFont="1" applyAlignment="1">
      <alignment horizontal="left" wrapText="1"/>
    </xf>
    <xf numFmtId="10" fontId="19" fillId="0" borderId="0" xfId="0" applyNumberFormat="1" applyFont="1" applyAlignment="1">
      <alignment horizontal="right" wrapText="1"/>
    </xf>
    <xf numFmtId="0" fontId="17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167" fontId="23" fillId="0" borderId="0" xfId="2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17" fillId="0" borderId="0" xfId="0" applyFont="1" applyAlignment="1">
      <alignment horizontal="left"/>
    </xf>
    <xf numFmtId="0" fontId="26" fillId="0" borderId="0" xfId="0" applyFont="1"/>
    <xf numFmtId="0" fontId="30" fillId="0" borderId="0" xfId="0" applyFont="1"/>
    <xf numFmtId="0" fontId="31" fillId="0" borderId="0" xfId="0" applyFont="1"/>
    <xf numFmtId="0" fontId="32" fillId="3" borderId="6" xfId="0" applyFont="1" applyFill="1" applyBorder="1"/>
    <xf numFmtId="168" fontId="33" fillId="0" borderId="0" xfId="6" applyNumberFormat="1" applyFont="1"/>
    <xf numFmtId="43" fontId="30" fillId="0" borderId="0" xfId="6" applyFont="1"/>
    <xf numFmtId="2" fontId="0" fillId="0" borderId="0" xfId="2" applyNumberFormat="1" applyFont="1"/>
    <xf numFmtId="0" fontId="35" fillId="0" borderId="0" xfId="0" applyFont="1"/>
    <xf numFmtId="0" fontId="37" fillId="0" borderId="0" xfId="0" applyFont="1"/>
    <xf numFmtId="9" fontId="37" fillId="0" borderId="0" xfId="2" applyFont="1" applyBorder="1"/>
    <xf numFmtId="169" fontId="31" fillId="0" borderId="0" xfId="2" applyNumberFormat="1" applyFont="1" applyBorder="1"/>
    <xf numFmtId="10" fontId="31" fillId="0" borderId="0" xfId="2" applyNumberFormat="1" applyFont="1" applyBorder="1"/>
    <xf numFmtId="0" fontId="38" fillId="0" borderId="0" xfId="0" applyFont="1"/>
    <xf numFmtId="0" fontId="41" fillId="0" borderId="0" xfId="0" applyFont="1"/>
    <xf numFmtId="167" fontId="41" fillId="0" borderId="0" xfId="2" applyNumberFormat="1" applyFont="1" applyBorder="1"/>
    <xf numFmtId="0" fontId="0" fillId="0" borderId="0" xfId="0" applyAlignment="1">
      <alignment horizontal="left"/>
    </xf>
    <xf numFmtId="0" fontId="9" fillId="7" borderId="6" xfId="0" applyFont="1" applyFill="1" applyBorder="1"/>
    <xf numFmtId="4" fontId="9" fillId="7" borderId="2" xfId="0" applyNumberFormat="1" applyFont="1" applyFill="1" applyBorder="1" applyAlignment="1">
      <alignment horizontal="right"/>
    </xf>
    <xf numFmtId="0" fontId="0" fillId="8" borderId="0" xfId="0" applyFill="1"/>
    <xf numFmtId="0" fontId="43" fillId="0" borderId="0" xfId="0" applyFont="1"/>
    <xf numFmtId="43" fontId="30" fillId="0" borderId="0" xfId="6" applyFont="1" applyFill="1" applyBorder="1"/>
    <xf numFmtId="9" fontId="45" fillId="0" borderId="0" xfId="2" applyFont="1" applyFill="1" applyBorder="1"/>
    <xf numFmtId="9" fontId="43" fillId="0" borderId="0" xfId="2" applyFont="1" applyFill="1" applyBorder="1"/>
    <xf numFmtId="9" fontId="38" fillId="0" borderId="0" xfId="2" applyFont="1" applyFill="1" applyBorder="1"/>
    <xf numFmtId="168" fontId="34" fillId="0" borderId="0" xfId="6" applyNumberFormat="1" applyFont="1" applyFill="1" applyBorder="1"/>
    <xf numFmtId="167" fontId="38" fillId="0" borderId="0" xfId="2" applyNumberFormat="1" applyFont="1" applyFill="1" applyBorder="1"/>
    <xf numFmtId="168" fontId="33" fillId="0" borderId="0" xfId="6" applyNumberFormat="1" applyFont="1" applyFill="1" applyBorder="1"/>
    <xf numFmtId="9" fontId="37" fillId="0" borderId="0" xfId="2" applyFont="1" applyFill="1" applyBorder="1"/>
    <xf numFmtId="2" fontId="30" fillId="0" borderId="0" xfId="0" applyNumberFormat="1" applyFont="1"/>
    <xf numFmtId="0" fontId="27" fillId="10" borderId="0" xfId="0" applyFont="1" applyFill="1"/>
    <xf numFmtId="0" fontId="30" fillId="10" borderId="0" xfId="0" applyFont="1" applyFill="1"/>
    <xf numFmtId="0" fontId="28" fillId="0" borderId="0" xfId="3" applyFont="1" applyFill="1" applyBorder="1" applyAlignment="1" applyProtection="1"/>
    <xf numFmtId="0" fontId="28" fillId="0" borderId="0" xfId="3" applyFont="1" applyFill="1" applyBorder="1" applyProtection="1"/>
    <xf numFmtId="0" fontId="28" fillId="0" borderId="0" xfId="3" applyFont="1" applyFill="1" applyBorder="1"/>
    <xf numFmtId="0" fontId="0" fillId="9" borderId="0" xfId="0" applyFill="1"/>
    <xf numFmtId="0" fontId="7" fillId="0" borderId="0" xfId="7" applyFont="1"/>
    <xf numFmtId="9" fontId="48" fillId="0" borderId="16" xfId="2" applyFont="1" applyBorder="1"/>
    <xf numFmtId="0" fontId="7" fillId="0" borderId="13" xfId="7" applyFont="1" applyBorder="1"/>
    <xf numFmtId="0" fontId="7" fillId="0" borderId="14" xfId="7" applyFont="1" applyBorder="1"/>
    <xf numFmtId="0" fontId="7" fillId="0" borderId="21" xfId="7" applyFont="1" applyBorder="1"/>
    <xf numFmtId="167" fontId="49" fillId="0" borderId="22" xfId="2" applyNumberFormat="1" applyFont="1" applyBorder="1" applyAlignment="1">
      <alignment horizontal="right" vertical="center"/>
    </xf>
    <xf numFmtId="9" fontId="7" fillId="0" borderId="21" xfId="2" applyFont="1" applyBorder="1"/>
    <xf numFmtId="9" fontId="49" fillId="0" borderId="22" xfId="2" applyFont="1" applyFill="1" applyBorder="1" applyAlignment="1">
      <alignment horizontal="right" vertical="center"/>
    </xf>
    <xf numFmtId="9" fontId="48" fillId="0" borderId="23" xfId="2" applyFont="1" applyBorder="1"/>
    <xf numFmtId="0" fontId="50" fillId="0" borderId="24" xfId="0" applyFont="1" applyBorder="1"/>
    <xf numFmtId="9" fontId="54" fillId="10" borderId="13" xfId="2" applyFont="1" applyFill="1" applyBorder="1"/>
    <xf numFmtId="0" fontId="52" fillId="10" borderId="14" xfId="0" applyFont="1" applyFill="1" applyBorder="1"/>
    <xf numFmtId="9" fontId="54" fillId="10" borderId="18" xfId="2" applyFont="1" applyFill="1" applyBorder="1"/>
    <xf numFmtId="0" fontId="52" fillId="10" borderId="19" xfId="7" applyFont="1" applyFill="1" applyBorder="1"/>
    <xf numFmtId="169" fontId="55" fillId="10" borderId="20" xfId="2" applyNumberFormat="1" applyFont="1" applyFill="1" applyBorder="1" applyAlignment="1">
      <alignment horizontal="right" vertical="center"/>
    </xf>
    <xf numFmtId="0" fontId="10" fillId="12" borderId="6" xfId="0" applyFont="1" applyFill="1" applyBorder="1"/>
    <xf numFmtId="4" fontId="11" fillId="12" borderId="2" xfId="0" applyNumberFormat="1" applyFont="1" applyFill="1" applyBorder="1" applyAlignment="1">
      <alignment horizontal="right"/>
    </xf>
    <xf numFmtId="0" fontId="0" fillId="13" borderId="0" xfId="0" applyFill="1"/>
    <xf numFmtId="0" fontId="11" fillId="12" borderId="2" xfId="0" applyFont="1" applyFill="1" applyBorder="1" applyAlignment="1">
      <alignment horizontal="right"/>
    </xf>
    <xf numFmtId="2" fontId="0" fillId="0" borderId="0" xfId="0" applyNumberFormat="1"/>
    <xf numFmtId="0" fontId="53" fillId="9" borderId="19" xfId="0" applyFont="1" applyFill="1" applyBorder="1"/>
    <xf numFmtId="0" fontId="53" fillId="9" borderId="20" xfId="0" applyFont="1" applyFill="1" applyBorder="1"/>
    <xf numFmtId="9" fontId="57" fillId="9" borderId="13" xfId="2" applyFont="1" applyFill="1" applyBorder="1"/>
    <xf numFmtId="0" fontId="58" fillId="9" borderId="14" xfId="0" applyFont="1" applyFill="1" applyBorder="1"/>
    <xf numFmtId="0" fontId="58" fillId="9" borderId="15" xfId="0" applyFont="1" applyFill="1" applyBorder="1"/>
    <xf numFmtId="9" fontId="57" fillId="9" borderId="18" xfId="2" applyFont="1" applyFill="1" applyBorder="1"/>
    <xf numFmtId="2" fontId="26" fillId="0" borderId="0" xfId="0" applyNumberFormat="1" applyFont="1"/>
    <xf numFmtId="0" fontId="10" fillId="11" borderId="6" xfId="0" applyFont="1" applyFill="1" applyBorder="1"/>
    <xf numFmtId="4" fontId="11" fillId="11" borderId="2" xfId="0" applyNumberFormat="1" applyFont="1" applyFill="1" applyBorder="1" applyAlignment="1">
      <alignment horizontal="right"/>
    </xf>
    <xf numFmtId="3" fontId="0" fillId="0" borderId="0" xfId="0" applyNumberFormat="1"/>
    <xf numFmtId="0" fontId="50" fillId="0" borderId="26" xfId="0" applyFont="1" applyBorder="1" applyAlignment="1">
      <alignment vertical="center" wrapText="1"/>
    </xf>
    <xf numFmtId="0" fontId="50" fillId="0" borderId="0" xfId="0" applyFont="1" applyAlignment="1">
      <alignment vertical="center" wrapText="1"/>
    </xf>
    <xf numFmtId="0" fontId="50" fillId="0" borderId="27" xfId="0" applyFont="1" applyBorder="1" applyAlignment="1">
      <alignment vertical="center" wrapText="1"/>
    </xf>
    <xf numFmtId="0" fontId="50" fillId="0" borderId="11" xfId="0" applyFont="1" applyBorder="1" applyAlignment="1">
      <alignment vertical="center" wrapText="1"/>
    </xf>
    <xf numFmtId="10" fontId="60" fillId="0" borderId="26" xfId="0" applyNumberFormat="1" applyFont="1" applyBorder="1" applyAlignment="1">
      <alignment vertical="center" wrapText="1"/>
    </xf>
    <xf numFmtId="10" fontId="4" fillId="9" borderId="0" xfId="0" applyNumberFormat="1" applyFont="1" applyFill="1"/>
    <xf numFmtId="0" fontId="4" fillId="9" borderId="0" xfId="0" applyFont="1" applyFill="1"/>
    <xf numFmtId="169" fontId="4" fillId="9" borderId="0" xfId="0" applyNumberFormat="1" applyFont="1" applyFill="1"/>
    <xf numFmtId="10" fontId="60" fillId="0" borderId="11" xfId="0" applyNumberFormat="1" applyFont="1" applyBorder="1" applyAlignment="1">
      <alignment vertical="center" wrapText="1"/>
    </xf>
    <xf numFmtId="9" fontId="60" fillId="0" borderId="11" xfId="0" applyNumberFormat="1" applyFont="1" applyBorder="1" applyAlignment="1">
      <alignment vertical="center" wrapText="1"/>
    </xf>
    <xf numFmtId="0" fontId="61" fillId="0" borderId="0" xfId="0" applyFont="1"/>
    <xf numFmtId="0" fontId="62" fillId="0" borderId="0" xfId="0" applyFont="1"/>
    <xf numFmtId="10" fontId="55" fillId="10" borderId="15" xfId="0" applyNumberFormat="1" applyFont="1" applyFill="1" applyBorder="1" applyAlignment="1">
      <alignment horizontal="right" vertical="center"/>
    </xf>
    <xf numFmtId="169" fontId="26" fillId="0" borderId="0" xfId="0" applyNumberFormat="1" applyFont="1"/>
    <xf numFmtId="169" fontId="50" fillId="0" borderId="17" xfId="0" applyNumberFormat="1" applyFont="1" applyBorder="1"/>
    <xf numFmtId="169" fontId="49" fillId="0" borderId="15" xfId="2" applyNumberFormat="1" applyFont="1" applyFill="1" applyBorder="1" applyAlignment="1">
      <alignment horizontal="right" vertical="center"/>
    </xf>
    <xf numFmtId="169" fontId="49" fillId="0" borderId="22" xfId="2" applyNumberFormat="1" applyFont="1" applyFill="1" applyBorder="1" applyAlignment="1">
      <alignment horizontal="right" vertical="center"/>
    </xf>
    <xf numFmtId="169" fontId="50" fillId="0" borderId="25" xfId="2" applyNumberFormat="1" applyFont="1" applyBorder="1"/>
    <xf numFmtId="172" fontId="49" fillId="0" borderId="22" xfId="8" applyNumberFormat="1" applyFont="1" applyFill="1" applyBorder="1" applyAlignment="1">
      <alignment horizontal="right" vertical="center"/>
    </xf>
    <xf numFmtId="2" fontId="59" fillId="0" borderId="28" xfId="0" applyNumberFormat="1" applyFont="1" applyBorder="1"/>
    <xf numFmtId="10" fontId="59" fillId="0" borderId="30" xfId="0" applyNumberFormat="1" applyFont="1" applyBorder="1"/>
    <xf numFmtId="2" fontId="59" fillId="0" borderId="29" xfId="0" applyNumberFormat="1" applyFont="1" applyBorder="1"/>
    <xf numFmtId="10" fontId="26" fillId="0" borderId="0" xfId="0" applyNumberFormat="1" applyFont="1"/>
    <xf numFmtId="167" fontId="26" fillId="0" borderId="0" xfId="2" applyNumberFormat="1" applyFont="1"/>
    <xf numFmtId="0" fontId="11" fillId="3" borderId="0" xfId="0" applyFont="1" applyFill="1" applyAlignment="1">
      <alignment horizontal="right"/>
    </xf>
    <xf numFmtId="172" fontId="0" fillId="0" borderId="0" xfId="2" applyNumberFormat="1" applyFont="1"/>
    <xf numFmtId="0" fontId="50" fillId="0" borderId="34" xfId="0" applyFont="1" applyBorder="1" applyAlignment="1">
      <alignment vertical="center" wrapText="1"/>
    </xf>
    <xf numFmtId="9" fontId="50" fillId="0" borderId="11" xfId="0" applyNumberFormat="1" applyFont="1" applyBorder="1" applyAlignment="1">
      <alignment vertical="center" wrapText="1"/>
    </xf>
    <xf numFmtId="10" fontId="50" fillId="0" borderId="11" xfId="0" applyNumberFormat="1" applyFont="1" applyBorder="1" applyAlignment="1">
      <alignment vertical="center" wrapText="1"/>
    </xf>
    <xf numFmtId="0" fontId="50" fillId="0" borderId="35" xfId="0" applyFont="1" applyBorder="1" applyAlignment="1">
      <alignment vertical="center" wrapText="1"/>
    </xf>
    <xf numFmtId="0" fontId="50" fillId="0" borderId="36" xfId="0" applyFont="1" applyBorder="1" applyAlignment="1">
      <alignment vertical="center" wrapText="1"/>
    </xf>
    <xf numFmtId="0" fontId="50" fillId="0" borderId="37" xfId="0" applyFont="1" applyBorder="1" applyAlignment="1">
      <alignment vertical="center" wrapText="1"/>
    </xf>
    <xf numFmtId="169" fontId="26" fillId="0" borderId="38" xfId="0" applyNumberFormat="1" applyFont="1" applyBorder="1"/>
    <xf numFmtId="0" fontId="50" fillId="0" borderId="39" xfId="0" applyFont="1" applyBorder="1" applyAlignment="1">
      <alignment vertical="center" wrapText="1"/>
    </xf>
    <xf numFmtId="9" fontId="50" fillId="0" borderId="40" xfId="0" applyNumberFormat="1" applyFont="1" applyBorder="1" applyAlignment="1">
      <alignment vertical="center" wrapText="1"/>
    </xf>
    <xf numFmtId="10" fontId="50" fillId="0" borderId="40" xfId="0" applyNumberFormat="1" applyFont="1" applyBorder="1" applyAlignment="1">
      <alignment vertical="center" wrapText="1"/>
    </xf>
    <xf numFmtId="169" fontId="26" fillId="0" borderId="33" xfId="0" applyNumberFormat="1" applyFont="1" applyBorder="1"/>
    <xf numFmtId="169" fontId="30" fillId="9" borderId="0" xfId="0" applyNumberFormat="1" applyFont="1" applyFill="1"/>
    <xf numFmtId="0" fontId="4" fillId="9" borderId="14" xfId="0" applyFont="1" applyFill="1" applyBorder="1" applyAlignment="1">
      <alignment horizontal="center"/>
    </xf>
    <xf numFmtId="10" fontId="30" fillId="0" borderId="0" xfId="2" applyNumberFormat="1" applyFont="1"/>
    <xf numFmtId="9" fontId="4" fillId="0" borderId="0" xfId="2" applyFont="1"/>
    <xf numFmtId="0" fontId="10" fillId="7" borderId="6" xfId="0" applyFont="1" applyFill="1" applyBorder="1"/>
    <xf numFmtId="4" fontId="11" fillId="7" borderId="2" xfId="0" applyNumberFormat="1" applyFont="1" applyFill="1" applyBorder="1" applyAlignment="1">
      <alignment horizontal="right"/>
    </xf>
    <xf numFmtId="0" fontId="9" fillId="7" borderId="2" xfId="0" applyFont="1" applyFill="1" applyBorder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righ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0" fontId="10" fillId="0" borderId="0" xfId="0" applyFont="1"/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3" fillId="0" borderId="0" xfId="0" applyFont="1"/>
    <xf numFmtId="0" fontId="12" fillId="0" borderId="0" xfId="0" applyFont="1" applyAlignment="1">
      <alignment horizontal="right"/>
    </xf>
    <xf numFmtId="4" fontId="12" fillId="0" borderId="0" xfId="0" applyNumberFormat="1" applyFont="1" applyAlignment="1">
      <alignment horizontal="right"/>
    </xf>
    <xf numFmtId="0" fontId="29" fillId="0" borderId="0" xfId="0" applyFont="1"/>
    <xf numFmtId="169" fontId="7" fillId="0" borderId="41" xfId="7" applyNumberFormat="1" applyFont="1" applyBorder="1"/>
    <xf numFmtId="0" fontId="48" fillId="0" borderId="42" xfId="7" applyFont="1" applyBorder="1"/>
    <xf numFmtId="0" fontId="58" fillId="9" borderId="12" xfId="0" applyFont="1" applyFill="1" applyBorder="1"/>
    <xf numFmtId="0" fontId="50" fillId="0" borderId="26" xfId="0" applyFont="1" applyBorder="1" applyAlignment="1">
      <alignment horizontal="center" vertical="center" wrapText="1"/>
    </xf>
    <xf numFmtId="0" fontId="50" fillId="0" borderId="36" xfId="0" applyFont="1" applyBorder="1" applyAlignment="1">
      <alignment horizontal="center" vertical="center" wrapText="1"/>
    </xf>
    <xf numFmtId="0" fontId="50" fillId="0" borderId="27" xfId="0" applyFont="1" applyBorder="1" applyAlignment="1">
      <alignment horizontal="center" vertical="center" wrapText="1"/>
    </xf>
    <xf numFmtId="2" fontId="59" fillId="0" borderId="43" xfId="0" applyNumberFormat="1" applyFont="1" applyBorder="1"/>
    <xf numFmtId="10" fontId="59" fillId="0" borderId="28" xfId="0" applyNumberFormat="1" applyFont="1" applyBorder="1"/>
    <xf numFmtId="10" fontId="64" fillId="0" borderId="28" xfId="0" applyNumberFormat="1" applyFont="1" applyBorder="1"/>
    <xf numFmtId="10" fontId="59" fillId="0" borderId="43" xfId="0" applyNumberFormat="1" applyFont="1" applyBorder="1"/>
    <xf numFmtId="2" fontId="59" fillId="0" borderId="30" xfId="0" applyNumberFormat="1" applyFont="1" applyBorder="1"/>
    <xf numFmtId="10" fontId="59" fillId="0" borderId="44" xfId="0" applyNumberFormat="1" applyFont="1" applyBorder="1"/>
    <xf numFmtId="2" fontId="59" fillId="0" borderId="0" xfId="0" applyNumberFormat="1" applyFont="1"/>
    <xf numFmtId="10" fontId="64" fillId="0" borderId="44" xfId="0" applyNumberFormat="1" applyFont="1" applyBorder="1"/>
    <xf numFmtId="10" fontId="59" fillId="0" borderId="45" xfId="0" applyNumberFormat="1" applyFont="1" applyBorder="1"/>
    <xf numFmtId="2" fontId="59" fillId="0" borderId="31" xfId="0" applyNumberFormat="1" applyFont="1" applyBorder="1"/>
    <xf numFmtId="2" fontId="59" fillId="0" borderId="46" xfId="0" applyNumberFormat="1" applyFont="1" applyBorder="1"/>
    <xf numFmtId="10" fontId="59" fillId="0" borderId="0" xfId="0" applyNumberFormat="1" applyFont="1"/>
    <xf numFmtId="10" fontId="64" fillId="0" borderId="0" xfId="0" applyNumberFormat="1" applyFont="1"/>
    <xf numFmtId="167" fontId="30" fillId="0" borderId="0" xfId="2" applyNumberFormat="1" applyFont="1"/>
    <xf numFmtId="2" fontId="67" fillId="9" borderId="50" xfId="0" applyNumberFormat="1" applyFont="1" applyFill="1" applyBorder="1" applyAlignment="1">
      <alignment horizontal="right"/>
    </xf>
    <xf numFmtId="2" fontId="65" fillId="9" borderId="50" xfId="0" applyNumberFormat="1" applyFont="1" applyFill="1" applyBorder="1" applyAlignment="1">
      <alignment horizontal="right"/>
    </xf>
    <xf numFmtId="166" fontId="68" fillId="9" borderId="49" xfId="1" applyNumberFormat="1" applyFont="1" applyFill="1" applyBorder="1" applyAlignment="1">
      <alignment horizontal="right"/>
    </xf>
    <xf numFmtId="10" fontId="30" fillId="9" borderId="43" xfId="2" applyNumberFormat="1" applyFont="1" applyFill="1" applyBorder="1"/>
    <xf numFmtId="10" fontId="30" fillId="9" borderId="45" xfId="2" applyNumberFormat="1" applyFont="1" applyFill="1" applyBorder="1"/>
    <xf numFmtId="0" fontId="10" fillId="15" borderId="6" xfId="0" applyFont="1" applyFill="1" applyBorder="1"/>
    <xf numFmtId="4" fontId="11" fillId="15" borderId="2" xfId="0" applyNumberFormat="1" applyFont="1" applyFill="1" applyBorder="1" applyAlignment="1">
      <alignment horizontal="right"/>
    </xf>
    <xf numFmtId="0" fontId="0" fillId="6" borderId="0" xfId="0" applyFill="1"/>
    <xf numFmtId="0" fontId="69" fillId="0" borderId="0" xfId="0" applyFont="1" applyAlignment="1">
      <alignment horizontal="right"/>
    </xf>
    <xf numFmtId="0" fontId="70" fillId="0" borderId="0" xfId="0" applyFont="1" applyAlignment="1">
      <alignment horizontal="right"/>
    </xf>
    <xf numFmtId="0" fontId="66" fillId="10" borderId="30" xfId="0" applyFont="1" applyFill="1" applyBorder="1" applyAlignment="1">
      <alignment horizontal="center"/>
    </xf>
    <xf numFmtId="2" fontId="30" fillId="9" borderId="28" xfId="0" applyNumberFormat="1" applyFont="1" applyFill="1" applyBorder="1" applyAlignment="1">
      <alignment horizontal="left"/>
    </xf>
    <xf numFmtId="2" fontId="30" fillId="9" borderId="31" xfId="0" applyNumberFormat="1" applyFont="1" applyFill="1" applyBorder="1" applyAlignment="1">
      <alignment horizontal="left"/>
    </xf>
    <xf numFmtId="0" fontId="26" fillId="0" borderId="0" xfId="0" applyFont="1" applyAlignment="1">
      <alignment horizontal="center"/>
    </xf>
    <xf numFmtId="10" fontId="26" fillId="0" borderId="0" xfId="2" applyNumberFormat="1" applyFont="1" applyAlignment="1">
      <alignment horizontal="center"/>
    </xf>
    <xf numFmtId="0" fontId="25" fillId="0" borderId="18" xfId="0" applyFont="1" applyBorder="1" applyAlignment="1">
      <alignment horizontal="left"/>
    </xf>
    <xf numFmtId="167" fontId="24" fillId="0" borderId="0" xfId="2" applyNumberFormat="1" applyFont="1" applyFill="1" applyAlignment="1">
      <alignment horizontal="right"/>
    </xf>
    <xf numFmtId="2" fontId="26" fillId="0" borderId="0" xfId="2" applyNumberFormat="1" applyFont="1" applyFill="1" applyBorder="1"/>
    <xf numFmtId="167" fontId="39" fillId="0" borderId="0" xfId="2" applyNumberFormat="1" applyFont="1" applyFill="1" applyBorder="1"/>
    <xf numFmtId="9" fontId="39" fillId="0" borderId="0" xfId="2" applyFont="1" applyFill="1" applyBorder="1"/>
    <xf numFmtId="9" fontId="40" fillId="0" borderId="0" xfId="2" applyFont="1" applyFill="1" applyBorder="1"/>
    <xf numFmtId="10" fontId="39" fillId="0" borderId="0" xfId="2" applyNumberFormat="1" applyFont="1" applyFill="1" applyBorder="1"/>
    <xf numFmtId="167" fontId="40" fillId="0" borderId="0" xfId="2" applyNumberFormat="1" applyFont="1" applyFill="1" applyBorder="1"/>
    <xf numFmtId="43" fontId="30" fillId="9" borderId="0" xfId="6" applyFont="1" applyFill="1" applyBorder="1"/>
    <xf numFmtId="167" fontId="4" fillId="0" borderId="0" xfId="2" applyNumberFormat="1" applyFont="1"/>
    <xf numFmtId="2" fontId="30" fillId="0" borderId="0" xfId="2" applyNumberFormat="1" applyFont="1"/>
    <xf numFmtId="167" fontId="85" fillId="0" borderId="0" xfId="2" applyNumberFormat="1" applyFont="1" applyBorder="1" applyAlignment="1">
      <alignment horizontal="right"/>
    </xf>
    <xf numFmtId="4" fontId="17" fillId="0" borderId="0" xfId="0" applyNumberFormat="1" applyFont="1" applyAlignment="1">
      <alignment horizontal="right"/>
    </xf>
    <xf numFmtId="0" fontId="17" fillId="6" borderId="13" xfId="0" applyFont="1" applyFill="1" applyBorder="1"/>
    <xf numFmtId="0" fontId="17" fillId="6" borderId="14" xfId="0" applyFont="1" applyFill="1" applyBorder="1" applyAlignment="1">
      <alignment horizontal="right"/>
    </xf>
    <xf numFmtId="0" fontId="17" fillId="6" borderId="15" xfId="0" applyFont="1" applyFill="1" applyBorder="1" applyAlignment="1">
      <alignment horizontal="right"/>
    </xf>
    <xf numFmtId="0" fontId="17" fillId="6" borderId="21" xfId="0" applyFont="1" applyFill="1" applyBorder="1" applyAlignment="1">
      <alignment horizontal="left"/>
    </xf>
    <xf numFmtId="4" fontId="17" fillId="0" borderId="22" xfId="0" applyNumberFormat="1" applyFont="1" applyBorder="1" applyAlignment="1">
      <alignment horizontal="right"/>
    </xf>
    <xf numFmtId="4" fontId="85" fillId="6" borderId="21" xfId="0" applyNumberFormat="1" applyFont="1" applyFill="1" applyBorder="1" applyAlignment="1">
      <alignment horizontal="left"/>
    </xf>
    <xf numFmtId="167" fontId="85" fillId="0" borderId="22" xfId="2" applyNumberFormat="1" applyFont="1" applyBorder="1" applyAlignment="1">
      <alignment horizontal="right"/>
    </xf>
    <xf numFmtId="0" fontId="17" fillId="0" borderId="21" xfId="0" applyFont="1" applyBorder="1" applyAlignment="1">
      <alignment horizontal="left"/>
    </xf>
    <xf numFmtId="0" fontId="17" fillId="0" borderId="19" xfId="0" applyFont="1" applyBorder="1" applyAlignment="1">
      <alignment horizontal="right"/>
    </xf>
    <xf numFmtId="0" fontId="17" fillId="0" borderId="20" xfId="0" applyFont="1" applyBorder="1" applyAlignment="1">
      <alignment horizontal="right"/>
    </xf>
    <xf numFmtId="0" fontId="17" fillId="0" borderId="14" xfId="0" applyFont="1" applyBorder="1" applyAlignment="1">
      <alignment horizontal="right"/>
    </xf>
    <xf numFmtId="0" fontId="17" fillId="0" borderId="15" xfId="0" applyFont="1" applyBorder="1" applyAlignment="1">
      <alignment horizontal="right"/>
    </xf>
    <xf numFmtId="0" fontId="17" fillId="0" borderId="22" xfId="0" applyFont="1" applyBorder="1" applyAlignment="1">
      <alignment horizontal="right"/>
    </xf>
    <xf numFmtId="167" fontId="69" fillId="0" borderId="0" xfId="2" applyNumberFormat="1" applyFont="1" applyBorder="1" applyAlignment="1">
      <alignment horizontal="right"/>
    </xf>
    <xf numFmtId="10" fontId="69" fillId="14" borderId="0" xfId="2" applyNumberFormat="1" applyFont="1" applyFill="1" applyBorder="1" applyAlignment="1">
      <alignment horizontal="right"/>
    </xf>
    <xf numFmtId="9" fontId="69" fillId="0" borderId="0" xfId="2" applyFont="1" applyBorder="1" applyAlignment="1">
      <alignment horizontal="right"/>
    </xf>
    <xf numFmtId="10" fontId="49" fillId="0" borderId="0" xfId="2" applyNumberFormat="1" applyFont="1" applyBorder="1" applyAlignment="1">
      <alignment horizontal="right"/>
    </xf>
    <xf numFmtId="10" fontId="17" fillId="0" borderId="0" xfId="2" applyNumberFormat="1" applyFont="1" applyBorder="1" applyAlignment="1">
      <alignment horizontal="right"/>
    </xf>
    <xf numFmtId="10" fontId="69" fillId="0" borderId="0" xfId="2" applyNumberFormat="1" applyFont="1" applyBorder="1" applyAlignment="1">
      <alignment horizontal="right"/>
    </xf>
    <xf numFmtId="167" fontId="69" fillId="14" borderId="0" xfId="2" applyNumberFormat="1" applyFont="1" applyFill="1" applyBorder="1" applyAlignment="1">
      <alignment horizontal="right"/>
    </xf>
    <xf numFmtId="167" fontId="70" fillId="0" borderId="0" xfId="2" applyNumberFormat="1" applyFont="1" applyBorder="1" applyAlignment="1">
      <alignment horizontal="right"/>
    </xf>
    <xf numFmtId="0" fontId="70" fillId="0" borderId="22" xfId="0" applyFont="1" applyBorder="1" applyAlignment="1">
      <alignment horizontal="right"/>
    </xf>
    <xf numFmtId="10" fontId="17" fillId="14" borderId="0" xfId="2" applyNumberFormat="1" applyFont="1" applyFill="1" applyBorder="1" applyAlignment="1">
      <alignment horizontal="right"/>
    </xf>
    <xf numFmtId="0" fontId="22" fillId="14" borderId="14" xfId="0" applyFont="1" applyFill="1" applyBorder="1" applyAlignment="1">
      <alignment horizontal="right"/>
    </xf>
    <xf numFmtId="0" fontId="18" fillId="0" borderId="21" xfId="0" applyFont="1" applyBorder="1" applyAlignment="1">
      <alignment horizontal="left" wrapText="1"/>
    </xf>
    <xf numFmtId="4" fontId="19" fillId="0" borderId="0" xfId="0" applyNumberFormat="1" applyFont="1" applyAlignment="1">
      <alignment horizontal="right" wrapText="1"/>
    </xf>
    <xf numFmtId="43" fontId="17" fillId="14" borderId="0" xfId="6" applyFont="1" applyFill="1" applyBorder="1" applyAlignment="1">
      <alignment horizontal="right"/>
    </xf>
    <xf numFmtId="167" fontId="21" fillId="0" borderId="0" xfId="2" applyNumberFormat="1" applyFont="1" applyFill="1" applyBorder="1" applyAlignment="1">
      <alignment horizontal="right" wrapText="1"/>
    </xf>
    <xf numFmtId="167" fontId="21" fillId="14" borderId="0" xfId="0" applyNumberFormat="1" applyFont="1" applyFill="1" applyAlignment="1">
      <alignment horizontal="right"/>
    </xf>
    <xf numFmtId="4" fontId="21" fillId="0" borderId="0" xfId="0" applyNumberFormat="1" applyFont="1" applyAlignment="1">
      <alignment horizontal="right" wrapText="1"/>
    </xf>
    <xf numFmtId="4" fontId="18" fillId="0" borderId="0" xfId="0" applyNumberFormat="1" applyFont="1" applyAlignment="1">
      <alignment horizontal="right" wrapText="1"/>
    </xf>
    <xf numFmtId="43" fontId="22" fillId="14" borderId="0" xfId="6" applyFont="1" applyFill="1" applyBorder="1" applyAlignment="1">
      <alignment horizontal="right"/>
    </xf>
    <xf numFmtId="0" fontId="20" fillId="0" borderId="19" xfId="0" applyFont="1" applyBorder="1" applyAlignment="1">
      <alignment horizontal="right"/>
    </xf>
    <xf numFmtId="167" fontId="20" fillId="0" borderId="19" xfId="2" applyNumberFormat="1" applyFont="1" applyBorder="1" applyAlignment="1">
      <alignment horizontal="right"/>
    </xf>
    <xf numFmtId="167" fontId="20" fillId="14" borderId="19" xfId="2" applyNumberFormat="1" applyFont="1" applyFill="1" applyBorder="1" applyAlignment="1">
      <alignment horizontal="right"/>
    </xf>
    <xf numFmtId="0" fontId="20" fillId="0" borderId="20" xfId="0" applyFont="1" applyBorder="1" applyAlignment="1">
      <alignment horizontal="right"/>
    </xf>
    <xf numFmtId="0" fontId="26" fillId="0" borderId="22" xfId="0" applyFont="1" applyBorder="1"/>
    <xf numFmtId="4" fontId="42" fillId="0" borderId="0" xfId="0" applyNumberFormat="1" applyFont="1" applyAlignment="1">
      <alignment horizontal="right"/>
    </xf>
    <xf numFmtId="4" fontId="42" fillId="9" borderId="0" xfId="0" applyNumberFormat="1" applyFont="1" applyFill="1" applyAlignment="1">
      <alignment horizontal="right"/>
    </xf>
    <xf numFmtId="4" fontId="42" fillId="9" borderId="22" xfId="0" applyNumberFormat="1" applyFont="1" applyFill="1" applyBorder="1" applyAlignment="1">
      <alignment horizontal="right"/>
    </xf>
    <xf numFmtId="167" fontId="39" fillId="0" borderId="22" xfId="2" applyNumberFormat="1" applyFont="1" applyFill="1" applyBorder="1"/>
    <xf numFmtId="4" fontId="26" fillId="0" borderId="0" xfId="0" applyNumberFormat="1" applyFont="1"/>
    <xf numFmtId="2" fontId="26" fillId="0" borderId="22" xfId="2" applyNumberFormat="1" applyFont="1" applyFill="1" applyBorder="1"/>
    <xf numFmtId="43" fontId="30" fillId="9" borderId="22" xfId="6" applyFont="1" applyFill="1" applyBorder="1"/>
    <xf numFmtId="9" fontId="39" fillId="0" borderId="22" xfId="2" applyFont="1" applyFill="1" applyBorder="1"/>
    <xf numFmtId="2" fontId="30" fillId="9" borderId="0" xfId="0" applyNumberFormat="1" applyFont="1" applyFill="1"/>
    <xf numFmtId="2" fontId="30" fillId="9" borderId="22" xfId="0" applyNumberFormat="1" applyFont="1" applyFill="1" applyBorder="1"/>
    <xf numFmtId="9" fontId="45" fillId="0" borderId="22" xfId="2" applyFont="1" applyFill="1" applyBorder="1"/>
    <xf numFmtId="4" fontId="30" fillId="0" borderId="0" xfId="0" applyNumberFormat="1" applyFont="1"/>
    <xf numFmtId="4" fontId="30" fillId="9" borderId="0" xfId="0" applyNumberFormat="1" applyFont="1" applyFill="1"/>
    <xf numFmtId="4" fontId="30" fillId="9" borderId="22" xfId="0" applyNumberFormat="1" applyFont="1" applyFill="1" applyBorder="1"/>
    <xf numFmtId="9" fontId="40" fillId="0" borderId="22" xfId="2" applyFont="1" applyFill="1" applyBorder="1"/>
    <xf numFmtId="2" fontId="42" fillId="3" borderId="0" xfId="0" applyNumberFormat="1" applyFont="1" applyFill="1" applyAlignment="1">
      <alignment horizontal="right"/>
    </xf>
    <xf numFmtId="43" fontId="30" fillId="9" borderId="0" xfId="0" applyNumberFormat="1" applyFont="1" applyFill="1"/>
    <xf numFmtId="43" fontId="30" fillId="9" borderId="22" xfId="0" applyNumberFormat="1" applyFont="1" applyFill="1" applyBorder="1"/>
    <xf numFmtId="4" fontId="42" fillId="3" borderId="0" xfId="0" applyNumberFormat="1" applyFont="1" applyFill="1" applyAlignment="1">
      <alignment horizontal="right"/>
    </xf>
    <xf numFmtId="10" fontId="39" fillId="0" borderId="22" xfId="2" applyNumberFormat="1" applyFont="1" applyFill="1" applyBorder="1"/>
    <xf numFmtId="10" fontId="39" fillId="0" borderId="0" xfId="0" applyNumberFormat="1" applyFont="1"/>
    <xf numFmtId="10" fontId="39" fillId="0" borderId="22" xfId="0" applyNumberFormat="1" applyFont="1" applyBorder="1"/>
    <xf numFmtId="43" fontId="26" fillId="0" borderId="0" xfId="0" applyNumberFormat="1" applyFont="1"/>
    <xf numFmtId="43" fontId="26" fillId="0" borderId="22" xfId="0" applyNumberFormat="1" applyFont="1" applyBorder="1"/>
    <xf numFmtId="167" fontId="40" fillId="0" borderId="22" xfId="2" applyNumberFormat="1" applyFont="1" applyFill="1" applyBorder="1"/>
    <xf numFmtId="4" fontId="30" fillId="0" borderId="22" xfId="0" applyNumberFormat="1" applyFont="1" applyBorder="1"/>
    <xf numFmtId="4" fontId="30" fillId="0" borderId="19" xfId="0" applyNumberFormat="1" applyFont="1" applyBorder="1"/>
    <xf numFmtId="4" fontId="30" fillId="9" borderId="19" xfId="0" applyNumberFormat="1" applyFont="1" applyFill="1" applyBorder="1"/>
    <xf numFmtId="4" fontId="30" fillId="9" borderId="20" xfId="0" applyNumberFormat="1" applyFont="1" applyFill="1" applyBorder="1"/>
    <xf numFmtId="0" fontId="27" fillId="10" borderId="13" xfId="0" applyFont="1" applyFill="1" applyBorder="1"/>
    <xf numFmtId="0" fontId="27" fillId="10" borderId="15" xfId="0" applyFont="1" applyFill="1" applyBorder="1"/>
    <xf numFmtId="0" fontId="26" fillId="0" borderId="21" xfId="0" applyFont="1" applyBorder="1"/>
    <xf numFmtId="14" fontId="26" fillId="0" borderId="22" xfId="0" applyNumberFormat="1" applyFont="1" applyBorder="1"/>
    <xf numFmtId="166" fontId="26" fillId="0" borderId="22" xfId="1" applyNumberFormat="1" applyFont="1" applyBorder="1" applyProtection="1"/>
    <xf numFmtId="166" fontId="26" fillId="0" borderId="22" xfId="0" applyNumberFormat="1" applyFont="1" applyBorder="1"/>
    <xf numFmtId="0" fontId="26" fillId="9" borderId="18" xfId="0" applyFont="1" applyFill="1" applyBorder="1"/>
    <xf numFmtId="10" fontId="73" fillId="9" borderId="20" xfId="2" applyNumberFormat="1" applyFont="1" applyFill="1" applyBorder="1" applyProtection="1"/>
    <xf numFmtId="0" fontId="26" fillId="0" borderId="14" xfId="0" applyFont="1" applyBorder="1"/>
    <xf numFmtId="0" fontId="26" fillId="0" borderId="15" xfId="0" applyFont="1" applyBorder="1"/>
    <xf numFmtId="2" fontId="30" fillId="9" borderId="19" xfId="0" applyNumberFormat="1" applyFont="1" applyFill="1" applyBorder="1"/>
    <xf numFmtId="2" fontId="30" fillId="9" borderId="20" xfId="0" applyNumberFormat="1" applyFont="1" applyFill="1" applyBorder="1"/>
    <xf numFmtId="0" fontId="88" fillId="0" borderId="0" xfId="0" applyFont="1" applyAlignment="1">
      <alignment horizontal="right"/>
    </xf>
    <xf numFmtId="165" fontId="89" fillId="9" borderId="0" xfId="0" applyNumberFormat="1" applyFont="1" applyFill="1" applyAlignment="1">
      <alignment horizontal="right" wrapText="1"/>
    </xf>
    <xf numFmtId="0" fontId="22" fillId="9" borderId="15" xfId="0" applyFont="1" applyFill="1" applyBorder="1" applyAlignment="1">
      <alignment horizontal="right"/>
    </xf>
    <xf numFmtId="0" fontId="18" fillId="0" borderId="0" xfId="0" applyFont="1" applyAlignment="1">
      <alignment horizontal="right" wrapText="1"/>
    </xf>
    <xf numFmtId="167" fontId="22" fillId="0" borderId="0" xfId="2" applyNumberFormat="1" applyFont="1" applyBorder="1" applyAlignment="1">
      <alignment horizontal="right"/>
    </xf>
    <xf numFmtId="0" fontId="25" fillId="0" borderId="0" xfId="0" applyFont="1" applyAlignment="1">
      <alignment horizontal="left"/>
    </xf>
    <xf numFmtId="10" fontId="72" fillId="0" borderId="0" xfId="2" applyNumberFormat="1" applyFont="1" applyBorder="1" applyAlignment="1">
      <alignment horizontal="right"/>
    </xf>
    <xf numFmtId="0" fontId="90" fillId="0" borderId="0" xfId="0" applyFont="1" applyAlignment="1">
      <alignment horizontal="right"/>
    </xf>
    <xf numFmtId="167" fontId="90" fillId="0" borderId="0" xfId="2" applyNumberFormat="1" applyFont="1" applyBorder="1" applyAlignment="1">
      <alignment horizontal="right" wrapText="1"/>
    </xf>
    <xf numFmtId="0" fontId="91" fillId="0" borderId="0" xfId="0" applyFont="1" applyAlignment="1">
      <alignment horizontal="right"/>
    </xf>
    <xf numFmtId="3" fontId="19" fillId="0" borderId="0" xfId="0" applyNumberFormat="1" applyFont="1" applyAlignment="1">
      <alignment horizontal="right" wrapText="1"/>
    </xf>
    <xf numFmtId="1" fontId="18" fillId="14" borderId="0" xfId="0" applyNumberFormat="1" applyFont="1" applyFill="1" applyAlignment="1">
      <alignment horizontal="right" wrapText="1"/>
    </xf>
    <xf numFmtId="3" fontId="88" fillId="0" borderId="0" xfId="0" applyNumberFormat="1" applyFont="1" applyAlignment="1">
      <alignment horizontal="right" wrapText="1"/>
    </xf>
    <xf numFmtId="167" fontId="88" fillId="0" borderId="0" xfId="2" applyNumberFormat="1" applyFont="1" applyFill="1" applyBorder="1" applyAlignment="1">
      <alignment horizontal="right" wrapText="1"/>
    </xf>
    <xf numFmtId="10" fontId="88" fillId="14" borderId="0" xfId="0" applyNumberFormat="1" applyFont="1" applyFill="1" applyAlignment="1">
      <alignment horizontal="right" wrapText="1"/>
    </xf>
    <xf numFmtId="3" fontId="19" fillId="14" borderId="0" xfId="0" applyNumberFormat="1" applyFont="1" applyFill="1" applyAlignment="1">
      <alignment horizontal="right" wrapText="1"/>
    </xf>
    <xf numFmtId="167" fontId="88" fillId="14" borderId="0" xfId="2" applyNumberFormat="1" applyFont="1" applyFill="1" applyBorder="1" applyAlignment="1">
      <alignment horizontal="right" wrapText="1"/>
    </xf>
    <xf numFmtId="3" fontId="18" fillId="0" borderId="0" xfId="0" applyNumberFormat="1" applyFont="1" applyAlignment="1">
      <alignment horizontal="right" wrapText="1"/>
    </xf>
    <xf numFmtId="171" fontId="18" fillId="14" borderId="0" xfId="6" applyNumberFormat="1" applyFont="1" applyFill="1" applyBorder="1" applyAlignment="1">
      <alignment horizontal="right" wrapText="1"/>
    </xf>
    <xf numFmtId="167" fontId="88" fillId="0" borderId="0" xfId="2" applyNumberFormat="1" applyFont="1" applyBorder="1" applyAlignment="1">
      <alignment horizontal="right"/>
    </xf>
    <xf numFmtId="167" fontId="88" fillId="14" borderId="0" xfId="2" applyNumberFormat="1" applyFont="1" applyFill="1" applyBorder="1" applyAlignment="1">
      <alignment horizontal="right"/>
    </xf>
    <xf numFmtId="0" fontId="17" fillId="0" borderId="13" xfId="0" applyFont="1" applyBorder="1" applyAlignment="1">
      <alignment horizontal="left"/>
    </xf>
    <xf numFmtId="0" fontId="88" fillId="0" borderId="21" xfId="0" applyFont="1" applyBorder="1" applyAlignment="1">
      <alignment horizontal="left" wrapText="1"/>
    </xf>
    <xf numFmtId="0" fontId="88" fillId="0" borderId="22" xfId="0" applyFont="1" applyBorder="1" applyAlignment="1">
      <alignment horizontal="right"/>
    </xf>
    <xf numFmtId="0" fontId="88" fillId="0" borderId="21" xfId="0" applyFont="1" applyBorder="1" applyAlignment="1">
      <alignment horizontal="left"/>
    </xf>
    <xf numFmtId="0" fontId="22" fillId="0" borderId="22" xfId="0" applyFont="1" applyBorder="1" applyAlignment="1">
      <alignment horizontal="right"/>
    </xf>
    <xf numFmtId="10" fontId="72" fillId="0" borderId="19" xfId="2" applyNumberFormat="1" applyFont="1" applyBorder="1" applyAlignment="1">
      <alignment horizontal="right"/>
    </xf>
    <xf numFmtId="167" fontId="22" fillId="0" borderId="19" xfId="2" applyNumberFormat="1" applyFont="1" applyBorder="1" applyAlignment="1">
      <alignment horizontal="right"/>
    </xf>
    <xf numFmtId="0" fontId="22" fillId="9" borderId="21" xfId="0" applyFont="1" applyFill="1" applyBorder="1" applyAlignment="1">
      <alignment horizontal="left" wrapText="1"/>
    </xf>
    <xf numFmtId="0" fontId="90" fillId="0" borderId="22" xfId="0" applyFont="1" applyBorder="1" applyAlignment="1">
      <alignment horizontal="right"/>
    </xf>
    <xf numFmtId="0" fontId="18" fillId="0" borderId="22" xfId="0" applyFont="1" applyBorder="1" applyAlignment="1">
      <alignment horizontal="right" wrapText="1"/>
    </xf>
    <xf numFmtId="10" fontId="19" fillId="0" borderId="22" xfId="0" applyNumberFormat="1" applyFont="1" applyBorder="1" applyAlignment="1">
      <alignment horizontal="right" wrapText="1"/>
    </xf>
    <xf numFmtId="0" fontId="18" fillId="0" borderId="18" xfId="0" applyFont="1" applyBorder="1" applyAlignment="1">
      <alignment horizontal="left" wrapText="1"/>
    </xf>
    <xf numFmtId="10" fontId="19" fillId="0" borderId="19" xfId="0" applyNumberFormat="1" applyFont="1" applyBorder="1" applyAlignment="1">
      <alignment horizontal="right" wrapText="1"/>
    </xf>
    <xf numFmtId="10" fontId="19" fillId="0" borderId="20" xfId="0" applyNumberFormat="1" applyFont="1" applyBorder="1" applyAlignment="1">
      <alignment horizontal="right" wrapText="1"/>
    </xf>
    <xf numFmtId="2" fontId="26" fillId="0" borderId="64" xfId="0" applyNumberFormat="1" applyFont="1" applyBorder="1"/>
    <xf numFmtId="10" fontId="26" fillId="0" borderId="65" xfId="0" applyNumberFormat="1" applyFont="1" applyBorder="1"/>
    <xf numFmtId="10" fontId="30" fillId="0" borderId="65" xfId="0" applyNumberFormat="1" applyFont="1" applyBorder="1"/>
    <xf numFmtId="10" fontId="26" fillId="0" borderId="66" xfId="0" applyNumberFormat="1" applyFont="1" applyBorder="1"/>
    <xf numFmtId="10" fontId="26" fillId="0" borderId="67" xfId="0" applyNumberFormat="1" applyFont="1" applyBorder="1"/>
    <xf numFmtId="2" fontId="0" fillId="0" borderId="22" xfId="0" applyNumberFormat="1" applyBorder="1"/>
    <xf numFmtId="10" fontId="30" fillId="0" borderId="67" xfId="0" applyNumberFormat="1" applyFont="1" applyBorder="1"/>
    <xf numFmtId="10" fontId="26" fillId="0" borderId="68" xfId="0" applyNumberFormat="1" applyFont="1" applyBorder="1"/>
    <xf numFmtId="2" fontId="26" fillId="0" borderId="19" xfId="0" applyNumberFormat="1" applyFont="1" applyBorder="1"/>
    <xf numFmtId="2" fontId="0" fillId="0" borderId="19" xfId="0" applyNumberFormat="1" applyBorder="1"/>
    <xf numFmtId="2" fontId="0" fillId="0" borderId="20" xfId="0" applyNumberFormat="1" applyBorder="1"/>
    <xf numFmtId="0" fontId="20" fillId="0" borderId="0" xfId="0" applyFont="1" applyAlignment="1">
      <alignment horizontal="left"/>
    </xf>
    <xf numFmtId="167" fontId="20" fillId="0" borderId="0" xfId="2" applyNumberFormat="1" applyFont="1" applyBorder="1" applyAlignment="1">
      <alignment horizontal="right"/>
    </xf>
    <xf numFmtId="167" fontId="20" fillId="0" borderId="0" xfId="2" applyNumberFormat="1" applyFont="1" applyFill="1" applyBorder="1" applyAlignment="1">
      <alignment horizontal="right"/>
    </xf>
    <xf numFmtId="0" fontId="17" fillId="0" borderId="7" xfId="0" applyFont="1" applyBorder="1" applyAlignment="1">
      <alignment horizontal="right"/>
    </xf>
    <xf numFmtId="10" fontId="92" fillId="14" borderId="0" xfId="2" applyNumberFormat="1" applyFont="1" applyFill="1" applyBorder="1" applyAlignment="1">
      <alignment horizontal="right"/>
    </xf>
    <xf numFmtId="167" fontId="92" fillId="14" borderId="22" xfId="2" applyNumberFormat="1" applyFont="1" applyFill="1" applyBorder="1" applyAlignment="1">
      <alignment horizontal="right"/>
    </xf>
    <xf numFmtId="10" fontId="92" fillId="0" borderId="0" xfId="2" applyNumberFormat="1" applyFont="1" applyBorder="1" applyAlignment="1">
      <alignment horizontal="right"/>
    </xf>
    <xf numFmtId="167" fontId="92" fillId="0" borderId="22" xfId="2" applyNumberFormat="1" applyFont="1" applyBorder="1" applyAlignment="1">
      <alignment horizontal="right"/>
    </xf>
    <xf numFmtId="10" fontId="92" fillId="14" borderId="19" xfId="2" applyNumberFormat="1" applyFont="1" applyFill="1" applyBorder="1" applyAlignment="1">
      <alignment horizontal="right"/>
    </xf>
    <xf numFmtId="167" fontId="93" fillId="9" borderId="22" xfId="2" applyNumberFormat="1" applyFont="1" applyFill="1" applyBorder="1" applyAlignment="1">
      <alignment horizontal="right"/>
    </xf>
    <xf numFmtId="0" fontId="17" fillId="47" borderId="62" xfId="0" applyFont="1" applyFill="1" applyBorder="1" applyAlignment="1">
      <alignment horizontal="left"/>
    </xf>
    <xf numFmtId="0" fontId="17" fillId="47" borderId="7" xfId="0" applyFont="1" applyFill="1" applyBorder="1" applyAlignment="1">
      <alignment horizontal="right"/>
    </xf>
    <xf numFmtId="0" fontId="17" fillId="47" borderId="59" xfId="0" applyFont="1" applyFill="1" applyBorder="1" applyAlignment="1">
      <alignment horizontal="right"/>
    </xf>
    <xf numFmtId="0" fontId="17" fillId="47" borderId="21" xfId="0" applyFont="1" applyFill="1" applyBorder="1" applyAlignment="1">
      <alignment horizontal="left" wrapText="1"/>
    </xf>
    <xf numFmtId="0" fontId="17" fillId="47" borderId="63" xfId="0" applyFont="1" applyFill="1" applyBorder="1" applyAlignment="1">
      <alignment horizontal="left"/>
    </xf>
    <xf numFmtId="10" fontId="92" fillId="47" borderId="0" xfId="2" applyNumberFormat="1" applyFont="1" applyFill="1" applyBorder="1" applyAlignment="1">
      <alignment horizontal="right"/>
    </xf>
    <xf numFmtId="167" fontId="92" fillId="47" borderId="8" xfId="2" applyNumberFormat="1" applyFont="1" applyFill="1" applyBorder="1" applyAlignment="1">
      <alignment horizontal="right"/>
    </xf>
    <xf numFmtId="10" fontId="92" fillId="47" borderId="60" xfId="2" applyNumberFormat="1" applyFont="1" applyFill="1" applyBorder="1" applyAlignment="1">
      <alignment horizontal="right"/>
    </xf>
    <xf numFmtId="167" fontId="92" fillId="47" borderId="61" xfId="2" applyNumberFormat="1" applyFont="1" applyFill="1" applyBorder="1" applyAlignment="1">
      <alignment horizontal="right"/>
    </xf>
    <xf numFmtId="167" fontId="21" fillId="0" borderId="0" xfId="0" applyNumberFormat="1" applyFont="1" applyAlignment="1">
      <alignment horizontal="right"/>
    </xf>
    <xf numFmtId="10" fontId="20" fillId="0" borderId="19" xfId="2" applyNumberFormat="1" applyFont="1" applyBorder="1" applyAlignment="1">
      <alignment horizontal="right"/>
    </xf>
    <xf numFmtId="167" fontId="20" fillId="0" borderId="0" xfId="0" applyNumberFormat="1" applyFont="1" applyAlignment="1">
      <alignment horizontal="right"/>
    </xf>
    <xf numFmtId="9" fontId="26" fillId="0" borderId="0" xfId="0" applyNumberFormat="1" applyFont="1"/>
    <xf numFmtId="167" fontId="26" fillId="0" borderId="0" xfId="0" applyNumberFormat="1" applyFont="1"/>
    <xf numFmtId="167" fontId="39" fillId="0" borderId="8" xfId="2" applyNumberFormat="1" applyFont="1" applyFill="1" applyBorder="1"/>
    <xf numFmtId="166" fontId="26" fillId="0" borderId="0" xfId="0" applyNumberFormat="1" applyFont="1"/>
    <xf numFmtId="0" fontId="18" fillId="0" borderId="13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9" fontId="50" fillId="0" borderId="0" xfId="0" applyNumberFormat="1" applyFont="1" applyAlignment="1">
      <alignment vertical="center" wrapText="1"/>
    </xf>
    <xf numFmtId="10" fontId="50" fillId="0" borderId="0" xfId="0" applyNumberFormat="1" applyFont="1" applyAlignment="1">
      <alignment vertical="center" wrapText="1"/>
    </xf>
    <xf numFmtId="0" fontId="55" fillId="10" borderId="47" xfId="0" applyFont="1" applyFill="1" applyBorder="1" applyAlignment="1">
      <alignment horizontal="center" vertical="center" wrapText="1"/>
    </xf>
    <xf numFmtId="0" fontId="55" fillId="10" borderId="28" xfId="0" applyFont="1" applyFill="1" applyBorder="1" applyAlignment="1">
      <alignment horizontal="center" vertical="center" wrapText="1"/>
    </xf>
    <xf numFmtId="0" fontId="55" fillId="10" borderId="30" xfId="0" applyFont="1" applyFill="1" applyBorder="1" applyAlignment="1">
      <alignment horizontal="center" vertical="center" wrapText="1"/>
    </xf>
    <xf numFmtId="0" fontId="50" fillId="9" borderId="48" xfId="0" applyFont="1" applyFill="1" applyBorder="1" applyAlignment="1">
      <alignment horizontal="right" vertical="center" wrapText="1"/>
    </xf>
    <xf numFmtId="169" fontId="26" fillId="0" borderId="29" xfId="0" applyNumberFormat="1" applyFont="1" applyBorder="1"/>
    <xf numFmtId="0" fontId="26" fillId="9" borderId="32" xfId="0" applyFont="1" applyFill="1" applyBorder="1"/>
    <xf numFmtId="169" fontId="30" fillId="9" borderId="46" xfId="0" applyNumberFormat="1" applyFont="1" applyFill="1" applyBorder="1"/>
    <xf numFmtId="0" fontId="26" fillId="0" borderId="29" xfId="0" applyFont="1" applyBorder="1"/>
    <xf numFmtId="166" fontId="26" fillId="0" borderId="43" xfId="0" applyNumberFormat="1" applyFont="1" applyBorder="1"/>
    <xf numFmtId="10" fontId="73" fillId="9" borderId="45" xfId="2" applyNumberFormat="1" applyFont="1" applyFill="1" applyBorder="1" applyProtection="1"/>
    <xf numFmtId="0" fontId="26" fillId="0" borderId="48" xfId="0" applyFont="1" applyBorder="1" applyAlignment="1">
      <alignment horizontal="left" indent="1"/>
    </xf>
    <xf numFmtId="0" fontId="26" fillId="0" borderId="0" xfId="0" applyFont="1" applyAlignment="1">
      <alignment horizontal="left" indent="1"/>
    </xf>
    <xf numFmtId="0" fontId="66" fillId="10" borderId="47" xfId="0" applyFont="1" applyFill="1" applyBorder="1" applyAlignment="1">
      <alignment horizontal="left" indent="1"/>
    </xf>
    <xf numFmtId="0" fontId="66" fillId="10" borderId="28" xfId="0" applyFont="1" applyFill="1" applyBorder="1" applyAlignment="1">
      <alignment horizontal="left" indent="1"/>
    </xf>
    <xf numFmtId="0" fontId="16" fillId="0" borderId="48" xfId="0" applyFont="1" applyBorder="1" applyAlignment="1">
      <alignment horizontal="left" indent="1"/>
    </xf>
    <xf numFmtId="0" fontId="16" fillId="0" borderId="0" xfId="0" applyFont="1" applyAlignment="1">
      <alignment horizontal="left" indent="1"/>
    </xf>
    <xf numFmtId="0" fontId="68" fillId="9" borderId="31" xfId="0" applyFont="1" applyFill="1" applyBorder="1" applyAlignment="1">
      <alignment horizontal="left" indent="1"/>
    </xf>
    <xf numFmtId="0" fontId="30" fillId="0" borderId="0" xfId="0" applyFont="1" applyAlignment="1">
      <alignment horizontal="left" indent="1"/>
    </xf>
    <xf numFmtId="4" fontId="22" fillId="14" borderId="0" xfId="0" applyNumberFormat="1" applyFont="1" applyFill="1" applyAlignment="1">
      <alignment horizontal="right"/>
    </xf>
    <xf numFmtId="173" fontId="17" fillId="14" borderId="0" xfId="0" applyNumberFormat="1" applyFont="1" applyFill="1" applyAlignment="1">
      <alignment horizontal="right"/>
    </xf>
    <xf numFmtId="9" fontId="69" fillId="14" borderId="0" xfId="0" applyNumberFormat="1" applyFont="1" applyFill="1" applyAlignment="1">
      <alignment horizontal="right"/>
    </xf>
    <xf numFmtId="4" fontId="17" fillId="14" borderId="0" xfId="0" applyNumberFormat="1" applyFont="1" applyFill="1" applyAlignment="1">
      <alignment horizontal="right"/>
    </xf>
    <xf numFmtId="10" fontId="70" fillId="14" borderId="0" xfId="0" applyNumberFormat="1" applyFont="1" applyFill="1" applyAlignment="1">
      <alignment horizontal="right"/>
    </xf>
    <xf numFmtId="9" fontId="70" fillId="14" borderId="0" xfId="0" applyNumberFormat="1" applyFont="1" applyFill="1" applyAlignment="1">
      <alignment horizontal="right"/>
    </xf>
    <xf numFmtId="167" fontId="92" fillId="14" borderId="0" xfId="0" applyNumberFormat="1" applyFont="1" applyFill="1" applyAlignment="1">
      <alignment horizontal="right"/>
    </xf>
    <xf numFmtId="9" fontId="92" fillId="14" borderId="0" xfId="0" applyNumberFormat="1" applyFont="1" applyFill="1" applyAlignment="1">
      <alignment horizontal="right"/>
    </xf>
    <xf numFmtId="0" fontId="16" fillId="0" borderId="0" xfId="0" applyFont="1"/>
    <xf numFmtId="167" fontId="17" fillId="0" borderId="0" xfId="0" applyNumberFormat="1" applyFont="1" applyAlignment="1">
      <alignment horizontal="right"/>
    </xf>
    <xf numFmtId="0" fontId="17" fillId="0" borderId="6" xfId="0" applyFont="1" applyBorder="1" applyAlignment="1">
      <alignment horizontal="right"/>
    </xf>
    <xf numFmtId="0" fontId="16" fillId="0" borderId="6" xfId="0" applyFont="1" applyBorder="1"/>
    <xf numFmtId="0" fontId="69" fillId="0" borderId="6" xfId="0" applyFont="1" applyBorder="1" applyAlignment="1">
      <alignment horizontal="right"/>
    </xf>
    <xf numFmtId="10" fontId="17" fillId="0" borderId="6" xfId="2" applyNumberFormat="1" applyFont="1" applyBorder="1" applyAlignment="1">
      <alignment horizontal="right"/>
    </xf>
    <xf numFmtId="4" fontId="22" fillId="0" borderId="0" xfId="0" applyNumberFormat="1" applyFont="1" applyAlignment="1">
      <alignment horizontal="right"/>
    </xf>
    <xf numFmtId="2" fontId="22" fillId="14" borderId="0" xfId="0" applyNumberFormat="1" applyFont="1" applyFill="1" applyAlignment="1">
      <alignment horizontal="right"/>
    </xf>
    <xf numFmtId="0" fontId="22" fillId="0" borderId="6" xfId="0" applyFont="1" applyBorder="1" applyAlignment="1">
      <alignment horizontal="right"/>
    </xf>
    <xf numFmtId="173" fontId="22" fillId="14" borderId="0" xfId="0" applyNumberFormat="1" applyFont="1" applyFill="1" applyAlignment="1">
      <alignment horizontal="right"/>
    </xf>
    <xf numFmtId="165" fontId="96" fillId="10" borderId="14" xfId="0" applyNumberFormat="1" applyFont="1" applyFill="1" applyBorder="1" applyAlignment="1">
      <alignment horizontal="right" wrapText="1"/>
    </xf>
    <xf numFmtId="0" fontId="18" fillId="9" borderId="13" xfId="0" applyFont="1" applyFill="1" applyBorder="1" applyAlignment="1">
      <alignment horizontal="left" wrapText="1"/>
    </xf>
    <xf numFmtId="0" fontId="18" fillId="9" borderId="14" xfId="0" applyFont="1" applyFill="1" applyBorder="1" applyAlignment="1">
      <alignment horizontal="right" wrapText="1"/>
    </xf>
    <xf numFmtId="0" fontId="18" fillId="9" borderId="21" xfId="0" applyFont="1" applyFill="1" applyBorder="1" applyAlignment="1">
      <alignment horizontal="left" wrapText="1"/>
    </xf>
    <xf numFmtId="0" fontId="20" fillId="9" borderId="21" xfId="0" applyFont="1" applyFill="1" applyBorder="1" applyAlignment="1">
      <alignment horizontal="left" wrapText="1"/>
    </xf>
    <xf numFmtId="0" fontId="20" fillId="9" borderId="18" xfId="0" applyFont="1" applyFill="1" applyBorder="1" applyAlignment="1">
      <alignment horizontal="left"/>
    </xf>
    <xf numFmtId="0" fontId="90" fillId="9" borderId="21" xfId="0" applyFont="1" applyFill="1" applyBorder="1" applyAlignment="1">
      <alignment horizontal="left" wrapText="1"/>
    </xf>
    <xf numFmtId="0" fontId="18" fillId="9" borderId="21" xfId="0" applyFont="1" applyFill="1" applyBorder="1" applyAlignment="1">
      <alignment horizontal="left"/>
    </xf>
    <xf numFmtId="0" fontId="17" fillId="0" borderId="60" xfId="0" applyFont="1" applyBorder="1" applyAlignment="1">
      <alignment horizontal="right"/>
    </xf>
    <xf numFmtId="0" fontId="25" fillId="0" borderId="69" xfId="0" applyFont="1" applyBorder="1" applyAlignment="1">
      <alignment horizontal="right"/>
    </xf>
    <xf numFmtId="0" fontId="22" fillId="9" borderId="0" xfId="0" applyFont="1" applyFill="1" applyAlignment="1">
      <alignment horizontal="right" wrapText="1"/>
    </xf>
    <xf numFmtId="165" fontId="96" fillId="10" borderId="0" xfId="0" applyNumberFormat="1" applyFont="1" applyFill="1" applyAlignment="1">
      <alignment horizontal="right" wrapText="1"/>
    </xf>
    <xf numFmtId="166" fontId="17" fillId="0" borderId="0" xfId="0" applyNumberFormat="1" applyFont="1" applyAlignment="1">
      <alignment horizontal="right" wrapText="1"/>
    </xf>
    <xf numFmtId="166" fontId="17" fillId="6" borderId="0" xfId="0" applyNumberFormat="1" applyFont="1" applyFill="1" applyAlignment="1">
      <alignment horizontal="right"/>
    </xf>
    <xf numFmtId="3" fontId="90" fillId="0" borderId="0" xfId="0" applyNumberFormat="1" applyFont="1" applyAlignment="1">
      <alignment horizontal="right" wrapText="1"/>
    </xf>
    <xf numFmtId="10" fontId="90" fillId="6" borderId="0" xfId="0" applyNumberFormat="1" applyFont="1" applyFill="1" applyAlignment="1">
      <alignment horizontal="right"/>
    </xf>
    <xf numFmtId="166" fontId="19" fillId="0" borderId="0" xfId="0" applyNumberFormat="1" applyFont="1" applyAlignment="1">
      <alignment horizontal="right"/>
    </xf>
    <xf numFmtId="166" fontId="89" fillId="6" borderId="0" xfId="0" applyNumberFormat="1" applyFont="1" applyFill="1" applyAlignment="1">
      <alignment horizontal="right"/>
    </xf>
    <xf numFmtId="167" fontId="90" fillId="14" borderId="0" xfId="2" applyNumberFormat="1" applyFont="1" applyFill="1" applyBorder="1" applyAlignment="1">
      <alignment horizontal="right"/>
    </xf>
    <xf numFmtId="167" fontId="24" fillId="47" borderId="0" xfId="2" applyNumberFormat="1" applyFont="1" applyFill="1" applyBorder="1" applyAlignment="1">
      <alignment horizontal="right"/>
    </xf>
    <xf numFmtId="43" fontId="17" fillId="0" borderId="0" xfId="0" applyNumberFormat="1" applyFont="1" applyAlignment="1">
      <alignment horizontal="right"/>
    </xf>
    <xf numFmtId="0" fontId="17" fillId="47" borderId="21" xfId="0" applyFont="1" applyFill="1" applyBorder="1" applyAlignment="1">
      <alignment horizontal="left"/>
    </xf>
    <xf numFmtId="0" fontId="18" fillId="9" borderId="0" xfId="0" applyFont="1" applyFill="1" applyAlignment="1">
      <alignment horizontal="right" wrapText="1"/>
    </xf>
    <xf numFmtId="0" fontId="88" fillId="9" borderId="21" xfId="0" applyFont="1" applyFill="1" applyBorder="1" applyAlignment="1">
      <alignment horizontal="left" wrapText="1"/>
    </xf>
    <xf numFmtId="0" fontId="88" fillId="9" borderId="21" xfId="0" applyFont="1" applyFill="1" applyBorder="1" applyAlignment="1">
      <alignment horizontal="left"/>
    </xf>
    <xf numFmtId="0" fontId="17" fillId="0" borderId="0" xfId="0" applyFont="1"/>
    <xf numFmtId="0" fontId="17" fillId="0" borderId="63" xfId="0" applyFont="1" applyBorder="1" applyAlignment="1">
      <alignment horizontal="left"/>
    </xf>
    <xf numFmtId="0" fontId="17" fillId="0" borderId="62" xfId="0" applyFont="1" applyBorder="1" applyAlignment="1">
      <alignment horizontal="left"/>
    </xf>
    <xf numFmtId="0" fontId="17" fillId="0" borderId="70" xfId="0" applyFont="1" applyBorder="1" applyAlignment="1">
      <alignment horizontal="right"/>
    </xf>
    <xf numFmtId="0" fontId="17" fillId="0" borderId="21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2" xfId="0" applyBorder="1"/>
    <xf numFmtId="9" fontId="0" fillId="0" borderId="0" xfId="0" applyNumberFormat="1"/>
    <xf numFmtId="0" fontId="4" fillId="9" borderId="21" xfId="0" applyFont="1" applyFill="1" applyBorder="1"/>
    <xf numFmtId="167" fontId="4" fillId="0" borderId="0" xfId="2" applyNumberFormat="1" applyFont="1" applyBorder="1"/>
    <xf numFmtId="4" fontId="0" fillId="0" borderId="0" xfId="0" applyNumberFormat="1"/>
    <xf numFmtId="0" fontId="26" fillId="0" borderId="21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6" fillId="0" borderId="19" xfId="0" applyFont="1" applyBorder="1" applyAlignment="1">
      <alignment horizontal="left"/>
    </xf>
    <xf numFmtId="0" fontId="0" fillId="0" borderId="19" xfId="0" applyBorder="1"/>
    <xf numFmtId="0" fontId="0" fillId="0" borderId="20" xfId="0" applyBorder="1"/>
    <xf numFmtId="0" fontId="0" fillId="9" borderId="21" xfId="0" applyFill="1" applyBorder="1"/>
    <xf numFmtId="164" fontId="3" fillId="10" borderId="0" xfId="0" applyNumberFormat="1" applyFont="1" applyFill="1"/>
    <xf numFmtId="164" fontId="3" fillId="10" borderId="8" xfId="0" applyNumberFormat="1" applyFont="1" applyFill="1" applyBorder="1"/>
    <xf numFmtId="0" fontId="3" fillId="10" borderId="21" xfId="0" applyFont="1" applyFill="1" applyBorder="1"/>
    <xf numFmtId="0" fontId="17" fillId="9" borderId="21" xfId="0" applyFont="1" applyFill="1" applyBorder="1" applyAlignment="1">
      <alignment horizontal="left"/>
    </xf>
    <xf numFmtId="0" fontId="22" fillId="9" borderId="21" xfId="0" applyFont="1" applyFill="1" applyBorder="1" applyAlignment="1">
      <alignment horizontal="left"/>
    </xf>
    <xf numFmtId="0" fontId="69" fillId="9" borderId="21" xfId="0" applyFont="1" applyFill="1" applyBorder="1" applyAlignment="1">
      <alignment horizontal="left"/>
    </xf>
    <xf numFmtId="0" fontId="16" fillId="11" borderId="21" xfId="0" applyFont="1" applyFill="1" applyBorder="1"/>
    <xf numFmtId="0" fontId="70" fillId="9" borderId="21" xfId="0" applyFont="1" applyFill="1" applyBorder="1" applyAlignment="1">
      <alignment horizontal="left"/>
    </xf>
    <xf numFmtId="0" fontId="17" fillId="9" borderId="18" xfId="0" applyFont="1" applyFill="1" applyBorder="1" applyAlignment="1">
      <alignment horizontal="left"/>
    </xf>
    <xf numFmtId="0" fontId="96" fillId="10" borderId="14" xfId="0" applyFont="1" applyFill="1" applyBorder="1" applyAlignment="1">
      <alignment horizontal="right"/>
    </xf>
    <xf numFmtId="0" fontId="99" fillId="10" borderId="13" xfId="0" applyFont="1" applyFill="1" applyBorder="1"/>
    <xf numFmtId="0" fontId="100" fillId="0" borderId="14" xfId="0" applyFont="1" applyBorder="1" applyAlignment="1">
      <alignment horizontal="right"/>
    </xf>
    <xf numFmtId="0" fontId="4" fillId="10" borderId="14" xfId="0" applyFont="1" applyFill="1" applyBorder="1"/>
    <xf numFmtId="0" fontId="96" fillId="10" borderId="15" xfId="0" applyFont="1" applyFill="1" applyBorder="1" applyAlignment="1">
      <alignment horizontal="right"/>
    </xf>
    <xf numFmtId="2" fontId="22" fillId="14" borderId="22" xfId="0" applyNumberFormat="1" applyFont="1" applyFill="1" applyBorder="1" applyAlignment="1">
      <alignment horizontal="right"/>
    </xf>
    <xf numFmtId="4" fontId="22" fillId="14" borderId="22" xfId="0" applyNumberFormat="1" applyFont="1" applyFill="1" applyBorder="1" applyAlignment="1">
      <alignment horizontal="right"/>
    </xf>
    <xf numFmtId="10" fontId="69" fillId="14" borderId="22" xfId="2" applyNumberFormat="1" applyFont="1" applyFill="1" applyBorder="1" applyAlignment="1">
      <alignment horizontal="right"/>
    </xf>
    <xf numFmtId="173" fontId="22" fillId="14" borderId="22" xfId="0" applyNumberFormat="1" applyFont="1" applyFill="1" applyBorder="1" applyAlignment="1">
      <alignment horizontal="right"/>
    </xf>
    <xf numFmtId="9" fontId="69" fillId="14" borderId="22" xfId="0" applyNumberFormat="1" applyFont="1" applyFill="1" applyBorder="1" applyAlignment="1">
      <alignment horizontal="right"/>
    </xf>
    <xf numFmtId="167" fontId="69" fillId="14" borderId="22" xfId="2" applyNumberFormat="1" applyFont="1" applyFill="1" applyBorder="1" applyAlignment="1">
      <alignment horizontal="right"/>
    </xf>
    <xf numFmtId="4" fontId="17" fillId="14" borderId="22" xfId="0" applyNumberFormat="1" applyFont="1" applyFill="1" applyBorder="1" applyAlignment="1">
      <alignment horizontal="right"/>
    </xf>
    <xf numFmtId="173" fontId="17" fillId="14" borderId="22" xfId="0" applyNumberFormat="1" applyFont="1" applyFill="1" applyBorder="1" applyAlignment="1">
      <alignment horizontal="right"/>
    </xf>
    <xf numFmtId="9" fontId="70" fillId="14" borderId="22" xfId="0" applyNumberFormat="1" applyFont="1" applyFill="1" applyBorder="1" applyAlignment="1">
      <alignment horizontal="right"/>
    </xf>
    <xf numFmtId="10" fontId="17" fillId="14" borderId="22" xfId="2" applyNumberFormat="1" applyFont="1" applyFill="1" applyBorder="1" applyAlignment="1">
      <alignment horizontal="right"/>
    </xf>
    <xf numFmtId="0" fontId="17" fillId="0" borderId="0" xfId="0" applyFont="1" applyAlignment="1">
      <alignment horizontal="center"/>
    </xf>
    <xf numFmtId="0" fontId="101" fillId="10" borderId="21" xfId="0" applyFont="1" applyFill="1" applyBorder="1" applyAlignment="1">
      <alignment horizontal="left"/>
    </xf>
    <xf numFmtId="0" fontId="98" fillId="10" borderId="0" xfId="0" applyFont="1" applyFill="1" applyAlignment="1">
      <alignment horizontal="right"/>
    </xf>
    <xf numFmtId="0" fontId="101" fillId="10" borderId="0" xfId="0" applyFont="1" applyFill="1" applyAlignment="1">
      <alignment horizontal="right" wrapText="1"/>
    </xf>
    <xf numFmtId="165" fontId="101" fillId="10" borderId="0" xfId="0" applyNumberFormat="1" applyFont="1" applyFill="1" applyAlignment="1">
      <alignment horizontal="right" wrapText="1"/>
    </xf>
    <xf numFmtId="165" fontId="101" fillId="10" borderId="22" xfId="0" applyNumberFormat="1" applyFont="1" applyFill="1" applyBorder="1" applyAlignment="1">
      <alignment horizontal="right" wrapText="1"/>
    </xf>
    <xf numFmtId="0" fontId="102" fillId="0" borderId="0" xfId="0" applyFont="1" applyAlignment="1">
      <alignment horizontal="right"/>
    </xf>
    <xf numFmtId="0" fontId="103" fillId="0" borderId="0" xfId="0" applyFont="1" applyAlignment="1">
      <alignment horizontal="right"/>
    </xf>
    <xf numFmtId="166" fontId="68" fillId="0" borderId="0" xfId="1" applyNumberFormat="1" applyFont="1" applyFill="1" applyBorder="1" applyAlignment="1">
      <alignment horizontal="right"/>
    </xf>
    <xf numFmtId="10" fontId="73" fillId="0" borderId="0" xfId="2" applyNumberFormat="1" applyFont="1" applyFill="1" applyBorder="1" applyProtection="1"/>
    <xf numFmtId="169" fontId="7" fillId="0" borderId="71" xfId="7" applyNumberFormat="1" applyFont="1" applyBorder="1"/>
    <xf numFmtId="9" fontId="48" fillId="0" borderId="72" xfId="2" applyFont="1" applyBorder="1"/>
    <xf numFmtId="169" fontId="50" fillId="0" borderId="73" xfId="0" applyNumberFormat="1" applyFont="1" applyBorder="1"/>
    <xf numFmtId="0" fontId="26" fillId="9" borderId="74" xfId="0" applyFont="1" applyFill="1" applyBorder="1"/>
    <xf numFmtId="0" fontId="30" fillId="9" borderId="74" xfId="0" applyFont="1" applyFill="1" applyBorder="1" applyAlignment="1">
      <alignment horizontal="left" vertical="center"/>
    </xf>
    <xf numFmtId="0" fontId="38" fillId="9" borderId="74" xfId="0" applyFont="1" applyFill="1" applyBorder="1" applyAlignment="1">
      <alignment horizontal="left" indent="1"/>
    </xf>
    <xf numFmtId="0" fontId="26" fillId="9" borderId="74" xfId="0" applyFont="1" applyFill="1" applyBorder="1" applyAlignment="1">
      <alignment horizontal="left" indent="2"/>
    </xf>
    <xf numFmtId="0" fontId="95" fillId="9" borderId="75" xfId="0" applyFont="1" applyFill="1" applyBorder="1" applyAlignment="1">
      <alignment horizontal="left" vertical="center" indent="1"/>
    </xf>
    <xf numFmtId="43" fontId="30" fillId="9" borderId="74" xfId="6" applyFont="1" applyFill="1" applyBorder="1" applyAlignment="1">
      <alignment horizontal="left"/>
    </xf>
    <xf numFmtId="0" fontId="63" fillId="9" borderId="74" xfId="0" applyFont="1" applyFill="1" applyBorder="1" applyAlignment="1">
      <alignment horizontal="left" indent="1"/>
    </xf>
    <xf numFmtId="168" fontId="33" fillId="9" borderId="74" xfId="6" applyNumberFormat="1" applyFont="1" applyFill="1" applyBorder="1" applyAlignment="1">
      <alignment horizontal="left" indent="1"/>
    </xf>
    <xf numFmtId="0" fontId="30" fillId="9" borderId="74" xfId="0" applyFont="1" applyFill="1" applyBorder="1"/>
    <xf numFmtId="0" fontId="44" fillId="9" borderId="74" xfId="0" applyFont="1" applyFill="1" applyBorder="1" applyAlignment="1">
      <alignment horizontal="left" indent="1"/>
    </xf>
    <xf numFmtId="0" fontId="29" fillId="9" borderId="74" xfId="0" applyFont="1" applyFill="1" applyBorder="1" applyAlignment="1">
      <alignment horizontal="left" indent="1"/>
    </xf>
    <xf numFmtId="0" fontId="31" fillId="9" borderId="74" xfId="0" applyFont="1" applyFill="1" applyBorder="1" applyAlignment="1">
      <alignment horizontal="left" indent="1"/>
    </xf>
    <xf numFmtId="0" fontId="30" fillId="9" borderId="76" xfId="0" applyFont="1" applyFill="1" applyBorder="1"/>
    <xf numFmtId="0" fontId="30" fillId="9" borderId="35" xfId="0" applyFont="1" applyFill="1" applyBorder="1"/>
    <xf numFmtId="164" fontId="30" fillId="9" borderId="77" xfId="0" applyNumberFormat="1" applyFont="1" applyFill="1" applyBorder="1"/>
    <xf numFmtId="165" fontId="27" fillId="10" borderId="77" xfId="0" applyNumberFormat="1" applyFont="1" applyFill="1" applyBorder="1"/>
    <xf numFmtId="165" fontId="27" fillId="10" borderId="78" xfId="0" applyNumberFormat="1" applyFont="1" applyFill="1" applyBorder="1"/>
    <xf numFmtId="0" fontId="30" fillId="0" borderId="60" xfId="0" applyFont="1" applyBorder="1"/>
    <xf numFmtId="0" fontId="3" fillId="10" borderId="13" xfId="0" applyFont="1" applyFill="1" applyBorder="1" applyAlignment="1">
      <alignment horizontal="left" indent="1"/>
    </xf>
    <xf numFmtId="0" fontId="3" fillId="10" borderId="14" xfId="0" applyFont="1" applyFill="1" applyBorder="1"/>
    <xf numFmtId="0" fontId="3" fillId="10" borderId="15" xfId="0" applyFont="1" applyFill="1" applyBorder="1"/>
    <xf numFmtId="0" fontId="4" fillId="0" borderId="21" xfId="0" applyFont="1" applyBorder="1" applyAlignment="1">
      <alignment horizontal="left" indent="1"/>
    </xf>
    <xf numFmtId="2" fontId="4" fillId="0" borderId="0" xfId="0" applyNumberFormat="1" applyFont="1"/>
    <xf numFmtId="2" fontId="4" fillId="0" borderId="22" xfId="0" applyNumberFormat="1" applyFont="1" applyBorder="1"/>
    <xf numFmtId="0" fontId="0" fillId="0" borderId="21" xfId="0" applyBorder="1" applyAlignment="1">
      <alignment horizontal="left" indent="1"/>
    </xf>
    <xf numFmtId="0" fontId="4" fillId="9" borderId="21" xfId="0" applyFont="1" applyFill="1" applyBorder="1" applyAlignment="1">
      <alignment horizontal="left" indent="1"/>
    </xf>
    <xf numFmtId="9" fontId="4" fillId="9" borderId="0" xfId="2" applyFont="1" applyFill="1" applyBorder="1"/>
    <xf numFmtId="9" fontId="4" fillId="9" borderId="22" xfId="2" applyFont="1" applyFill="1" applyBorder="1"/>
    <xf numFmtId="9" fontId="0" fillId="0" borderId="0" xfId="2" applyFont="1" applyBorder="1"/>
    <xf numFmtId="9" fontId="0" fillId="0" borderId="22" xfId="2" applyFont="1" applyBorder="1"/>
    <xf numFmtId="0" fontId="0" fillId="0" borderId="18" xfId="0" applyBorder="1" applyAlignment="1">
      <alignment horizontal="left" indent="1"/>
    </xf>
    <xf numFmtId="0" fontId="6" fillId="48" borderId="3" xfId="0" applyFont="1" applyFill="1" applyBorder="1" applyAlignment="1">
      <alignment horizontal="left" vertical="center" readingOrder="1"/>
    </xf>
    <xf numFmtId="0" fontId="104" fillId="0" borderId="0" xfId="0" applyFont="1"/>
    <xf numFmtId="0" fontId="8" fillId="48" borderId="4" xfId="0" applyFont="1" applyFill="1" applyBorder="1" applyAlignment="1">
      <alignment horizontal="left"/>
    </xf>
    <xf numFmtId="0" fontId="8" fillId="48" borderId="4" xfId="0" applyFont="1" applyFill="1" applyBorder="1" applyAlignment="1">
      <alignment horizontal="right"/>
    </xf>
    <xf numFmtId="0" fontId="8" fillId="48" borderId="5" xfId="0" applyFont="1" applyFill="1" applyBorder="1" applyAlignment="1">
      <alignment horizontal="left"/>
    </xf>
    <xf numFmtId="14" fontId="8" fillId="48" borderId="5" xfId="0" applyNumberFormat="1" applyFont="1" applyFill="1" applyBorder="1" applyAlignment="1">
      <alignment horizontal="right"/>
    </xf>
    <xf numFmtId="0" fontId="8" fillId="48" borderId="5" xfId="0" applyFont="1" applyFill="1" applyBorder="1" applyAlignment="1">
      <alignment horizontal="right"/>
    </xf>
    <xf numFmtId="0" fontId="104" fillId="49" borderId="11" xfId="0" applyFont="1" applyFill="1" applyBorder="1"/>
    <xf numFmtId="2" fontId="104" fillId="49" borderId="11" xfId="0" applyNumberFormat="1" applyFont="1" applyFill="1" applyBorder="1"/>
    <xf numFmtId="0" fontId="4" fillId="0" borderId="22" xfId="0" applyFont="1" applyBorder="1"/>
    <xf numFmtId="2" fontId="104" fillId="49" borderId="11" xfId="2" applyNumberFormat="1" applyFont="1" applyFill="1" applyBorder="1"/>
    <xf numFmtId="2" fontId="11" fillId="3" borderId="2" xfId="0" applyNumberFormat="1" applyFont="1" applyFill="1" applyBorder="1" applyAlignment="1">
      <alignment horizontal="right"/>
    </xf>
    <xf numFmtId="9" fontId="4" fillId="0" borderId="0" xfId="2" applyFont="1" applyFill="1" applyBorder="1"/>
    <xf numFmtId="9" fontId="4" fillId="0" borderId="22" xfId="2" applyFont="1" applyFill="1" applyBorder="1"/>
    <xf numFmtId="0" fontId="105" fillId="0" borderId="0" xfId="0" applyFont="1"/>
    <xf numFmtId="0" fontId="10" fillId="3" borderId="0" xfId="0" applyFont="1" applyFill="1"/>
    <xf numFmtId="4" fontId="11" fillId="3" borderId="0" xfId="0" applyNumberFormat="1" applyFont="1" applyFill="1" applyAlignment="1">
      <alignment horizontal="right"/>
    </xf>
    <xf numFmtId="0" fontId="10" fillId="50" borderId="11" xfId="0" applyFont="1" applyFill="1" applyBorder="1"/>
    <xf numFmtId="2" fontId="11" fillId="50" borderId="11" xfId="0" applyNumberFormat="1" applyFont="1" applyFill="1" applyBorder="1" applyAlignment="1">
      <alignment horizontal="right"/>
    </xf>
    <xf numFmtId="0" fontId="10" fillId="50" borderId="6" xfId="0" applyFont="1" applyFill="1" applyBorder="1"/>
    <xf numFmtId="2" fontId="11" fillId="50" borderId="2" xfId="0" applyNumberFormat="1" applyFont="1" applyFill="1" applyBorder="1" applyAlignment="1">
      <alignment horizontal="right"/>
    </xf>
    <xf numFmtId="0" fontId="0" fillId="0" borderId="18" xfId="0" applyBorder="1"/>
    <xf numFmtId="9" fontId="1" fillId="0" borderId="0" xfId="2" applyFont="1" applyFill="1" applyBorder="1"/>
    <xf numFmtId="9" fontId="1" fillId="0" borderId="22" xfId="2" applyFont="1" applyFill="1" applyBorder="1"/>
    <xf numFmtId="0" fontId="106" fillId="0" borderId="0" xfId="0" applyFont="1"/>
    <xf numFmtId="0" fontId="0" fillId="0" borderId="47" xfId="0" applyBorder="1"/>
    <xf numFmtId="0" fontId="0" fillId="0" borderId="28" xfId="0" applyBorder="1"/>
    <xf numFmtId="0" fontId="0" fillId="0" borderId="30" xfId="0" applyBorder="1"/>
    <xf numFmtId="0" fontId="0" fillId="0" borderId="48" xfId="0" applyBorder="1"/>
    <xf numFmtId="0" fontId="0" fillId="0" borderId="29" xfId="0" applyBorder="1"/>
    <xf numFmtId="0" fontId="107" fillId="0" borderId="79" xfId="0" applyFont="1" applyBorder="1" applyAlignment="1">
      <alignment horizontal="centerContinuous"/>
    </xf>
    <xf numFmtId="0" fontId="107" fillId="0" borderId="77" xfId="0" applyFont="1" applyBorder="1" applyAlignment="1">
      <alignment horizontal="centerContinuous"/>
    </xf>
    <xf numFmtId="0" fontId="0" fillId="0" borderId="80" xfId="0" applyBorder="1"/>
    <xf numFmtId="0" fontId="107" fillId="0" borderId="79" xfId="0" applyFont="1" applyBorder="1" applyAlignment="1">
      <alignment horizontal="center"/>
    </xf>
    <xf numFmtId="0" fontId="107" fillId="0" borderId="77" xfId="0" applyFont="1" applyBorder="1" applyAlignment="1">
      <alignment horizontal="center"/>
    </xf>
    <xf numFmtId="0" fontId="107" fillId="0" borderId="81" xfId="0" applyFont="1" applyBorder="1" applyAlignment="1">
      <alignment horizontal="center"/>
    </xf>
    <xf numFmtId="0" fontId="0" fillId="9" borderId="32" xfId="0" applyFill="1" applyBorder="1"/>
    <xf numFmtId="0" fontId="0" fillId="9" borderId="31" xfId="0" applyFill="1" applyBorder="1"/>
    <xf numFmtId="0" fontId="0" fillId="0" borderId="31" xfId="0" applyBorder="1"/>
    <xf numFmtId="0" fontId="0" fillId="0" borderId="46" xfId="0" applyBorder="1"/>
    <xf numFmtId="14" fontId="0" fillId="0" borderId="0" xfId="0" applyNumberFormat="1"/>
    <xf numFmtId="2" fontId="30" fillId="9" borderId="47" xfId="0" applyNumberFormat="1" applyFont="1" applyFill="1" applyBorder="1" applyAlignment="1">
      <alignment horizontal="left" indent="2"/>
    </xf>
    <xf numFmtId="0" fontId="68" fillId="9" borderId="32" xfId="0" applyFont="1" applyFill="1" applyBorder="1" applyAlignment="1">
      <alignment horizontal="left" indent="2"/>
    </xf>
    <xf numFmtId="2" fontId="30" fillId="9" borderId="32" xfId="0" applyNumberFormat="1" applyFont="1" applyFill="1" applyBorder="1" applyAlignment="1">
      <alignment horizontal="left" indent="3"/>
    </xf>
    <xf numFmtId="4" fontId="16" fillId="0" borderId="44" xfId="0" applyNumberFormat="1" applyFont="1" applyBorder="1" applyAlignment="1">
      <alignment horizontal="right"/>
    </xf>
    <xf numFmtId="0" fontId="16" fillId="0" borderId="47" xfId="0" applyFont="1" applyBorder="1" applyAlignment="1">
      <alignment horizontal="left" indent="1"/>
    </xf>
    <xf numFmtId="0" fontId="16" fillId="0" borderId="28" xfId="0" applyFont="1" applyBorder="1" applyAlignment="1">
      <alignment horizontal="left" indent="1"/>
    </xf>
    <xf numFmtId="2" fontId="16" fillId="0" borderId="43" xfId="0" applyNumberFormat="1" applyFont="1" applyBorder="1" applyAlignment="1">
      <alignment horizontal="right"/>
    </xf>
    <xf numFmtId="0" fontId="16" fillId="0" borderId="32" xfId="0" applyFont="1" applyBorder="1" applyAlignment="1">
      <alignment horizontal="left" indent="1"/>
    </xf>
    <xf numFmtId="0" fontId="16" fillId="0" borderId="31" xfId="0" applyFont="1" applyBorder="1" applyAlignment="1">
      <alignment horizontal="left" indent="1"/>
    </xf>
    <xf numFmtId="2" fontId="65" fillId="0" borderId="45" xfId="0" applyNumberFormat="1" applyFont="1" applyBorder="1" applyAlignment="1">
      <alignment horizontal="right"/>
    </xf>
    <xf numFmtId="0" fontId="16" fillId="0" borderId="50" xfId="0" applyFont="1" applyBorder="1" applyAlignment="1">
      <alignment horizontal="right"/>
    </xf>
    <xf numFmtId="0" fontId="56" fillId="9" borderId="9" xfId="7" applyFont="1" applyFill="1" applyBorder="1" applyAlignment="1">
      <alignment horizontal="center" vertical="center"/>
    </xf>
    <xf numFmtId="0" fontId="56" fillId="9" borderId="12" xfId="7" applyFont="1" applyFill="1" applyBorder="1" applyAlignment="1">
      <alignment horizontal="center" vertical="center"/>
    </xf>
    <xf numFmtId="0" fontId="56" fillId="9" borderId="10" xfId="7" applyFont="1" applyFill="1" applyBorder="1" applyAlignment="1">
      <alignment horizontal="center" vertical="center"/>
    </xf>
    <xf numFmtId="0" fontId="30" fillId="9" borderId="1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18" xfId="0" applyFont="1" applyBorder="1"/>
    <xf numFmtId="0" fontId="26" fillId="0" borderId="19" xfId="0" applyFont="1" applyBorder="1"/>
    <xf numFmtId="44" fontId="26" fillId="0" borderId="48" xfId="1" applyFont="1" applyBorder="1" applyAlignment="1">
      <alignment horizontal="center"/>
    </xf>
    <xf numFmtId="44" fontId="26" fillId="0" borderId="0" xfId="1" applyFont="1" applyAlignment="1">
      <alignment horizontal="center"/>
    </xf>
    <xf numFmtId="0" fontId="46" fillId="9" borderId="0" xfId="3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26" fillId="9" borderId="13" xfId="0" applyFont="1" applyFill="1" applyBorder="1" applyAlignment="1">
      <alignment horizontal="center"/>
    </xf>
    <xf numFmtId="0" fontId="26" fillId="9" borderId="14" xfId="0" applyFont="1" applyFill="1" applyBorder="1" applyAlignment="1">
      <alignment horizontal="center"/>
    </xf>
    <xf numFmtId="0" fontId="30" fillId="9" borderId="18" xfId="0" applyFont="1" applyFill="1" applyBorder="1" applyAlignment="1">
      <alignment horizontal="center"/>
    </xf>
    <xf numFmtId="0" fontId="30" fillId="9" borderId="19" xfId="0" applyFont="1" applyFill="1" applyBorder="1" applyAlignment="1">
      <alignment horizontal="center"/>
    </xf>
    <xf numFmtId="0" fontId="30" fillId="0" borderId="31" xfId="0" applyFont="1" applyBorder="1" applyAlignment="1">
      <alignment horizontal="center"/>
    </xf>
    <xf numFmtId="0" fontId="67" fillId="9" borderId="48" xfId="0" applyFont="1" applyFill="1" applyBorder="1" applyAlignment="1">
      <alignment horizontal="left" indent="2"/>
    </xf>
    <xf numFmtId="0" fontId="67" fillId="9" borderId="29" xfId="0" applyFont="1" applyFill="1" applyBorder="1" applyAlignment="1">
      <alignment horizontal="left" indent="2"/>
    </xf>
    <xf numFmtId="10" fontId="26" fillId="0" borderId="48" xfId="2" applyNumberFormat="1" applyFont="1" applyBorder="1" applyAlignment="1">
      <alignment horizontal="center"/>
    </xf>
    <xf numFmtId="10" fontId="26" fillId="0" borderId="0" xfId="2" applyNumberFormat="1" applyFont="1" applyBorder="1" applyAlignment="1">
      <alignment horizontal="center"/>
    </xf>
    <xf numFmtId="0" fontId="26" fillId="0" borderId="47" xfId="0" applyFont="1" applyBorder="1" applyAlignment="1">
      <alignment horizontal="left" indent="1"/>
    </xf>
    <xf numFmtId="0" fontId="26" fillId="0" borderId="28" xfId="0" applyFont="1" applyBorder="1" applyAlignment="1">
      <alignment horizontal="left" indent="1"/>
    </xf>
    <xf numFmtId="0" fontId="26" fillId="9" borderId="32" xfId="0" applyFont="1" applyFill="1" applyBorder="1" applyAlignment="1">
      <alignment horizontal="left" indent="1"/>
    </xf>
    <xf numFmtId="0" fontId="26" fillId="9" borderId="31" xfId="0" applyFont="1" applyFill="1" applyBorder="1" applyAlignment="1">
      <alignment horizontal="left" indent="1"/>
    </xf>
    <xf numFmtId="0" fontId="65" fillId="9" borderId="48" xfId="0" applyFont="1" applyFill="1" applyBorder="1" applyAlignment="1">
      <alignment horizontal="left" indent="4"/>
    </xf>
    <xf numFmtId="0" fontId="65" fillId="9" borderId="29" xfId="0" applyFont="1" applyFill="1" applyBorder="1" applyAlignment="1">
      <alignment horizontal="left" indent="4"/>
    </xf>
    <xf numFmtId="0" fontId="16" fillId="0" borderId="48" xfId="0" applyFont="1" applyBorder="1" applyAlignment="1">
      <alignment horizontal="left" indent="2"/>
    </xf>
    <xf numFmtId="0" fontId="16" fillId="0" borderId="29" xfId="0" applyFont="1" applyBorder="1" applyAlignment="1">
      <alignment horizontal="left" indent="2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4" fontId="94" fillId="9" borderId="0" xfId="0" applyNumberFormat="1" applyFont="1" applyFill="1" applyAlignment="1">
      <alignment horizontal="center"/>
    </xf>
    <xf numFmtId="0" fontId="71" fillId="0" borderId="0" xfId="0" applyFont="1" applyAlignment="1">
      <alignment horizontal="center"/>
    </xf>
    <xf numFmtId="0" fontId="97" fillId="0" borderId="19" xfId="0" applyFont="1" applyBorder="1" applyAlignment="1">
      <alignment horizontal="center" wrapText="1"/>
    </xf>
    <xf numFmtId="0" fontId="98" fillId="0" borderId="14" xfId="0" applyFont="1" applyBorder="1" applyAlignment="1">
      <alignment horizontal="center"/>
    </xf>
    <xf numFmtId="0" fontId="98" fillId="0" borderId="7" xfId="0" applyFont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0" xfId="0" applyAlignment="1">
      <alignment horizontal="left"/>
    </xf>
  </cellXfs>
  <cellStyles count="49">
    <cellStyle name="20% - Accent1" xfId="24" builtinId="30" customBuiltin="1"/>
    <cellStyle name="20% - Accent2" xfId="27" builtinId="34" customBuiltin="1"/>
    <cellStyle name="20% - Accent3" xfId="30" builtinId="38" customBuiltin="1"/>
    <cellStyle name="20% - Accent4" xfId="33" builtinId="42" customBuiltin="1"/>
    <cellStyle name="20% - Accent5" xfId="36" builtinId="46" customBuiltin="1"/>
    <cellStyle name="20% - Accent6" xfId="39" builtinId="50" customBuiltin="1"/>
    <cellStyle name="40% - Accent1" xfId="25" builtinId="31" customBuiltin="1"/>
    <cellStyle name="40% - Accent2" xfId="28" builtinId="35" customBuiltin="1"/>
    <cellStyle name="40% - Accent3" xfId="31" builtinId="39" customBuiltin="1"/>
    <cellStyle name="40% - Accent4" xfId="34" builtinId="43" customBuiltin="1"/>
    <cellStyle name="40% - Accent5" xfId="37" builtinId="47" customBuiltin="1"/>
    <cellStyle name="40% - Accent6" xfId="40" builtinId="51" customBuiltin="1"/>
    <cellStyle name="60% - Accent1 2" xfId="41" xr:uid="{03235A51-BAF2-4FD7-8CB9-C71E11B52290}"/>
    <cellStyle name="60% - Accent2 2" xfId="42" xr:uid="{0057A095-2209-4EBA-A97B-63B03F04CF57}"/>
    <cellStyle name="60% - Accent3 2" xfId="43" xr:uid="{6CED0DFB-B080-41C5-A187-13C3E68F8697}"/>
    <cellStyle name="60% - Accent4 2" xfId="44" xr:uid="{F24E04AF-5D1D-4FBF-823E-B66FCFAC1371}"/>
    <cellStyle name="60% - Accent5 2" xfId="45" xr:uid="{69465DD6-25F8-4EDB-9359-BE6186B01E1E}"/>
    <cellStyle name="60% - Accent6 2" xfId="46" xr:uid="{DBE75058-A317-42FC-AB55-3EED08B42A51}"/>
    <cellStyle name="Accent1" xfId="23" builtinId="29" customBuiltin="1"/>
    <cellStyle name="Accent2" xfId="26" builtinId="33" customBuiltin="1"/>
    <cellStyle name="Accent3" xfId="29" builtinId="37" customBuiltin="1"/>
    <cellStyle name="Accent4" xfId="32" builtinId="41" customBuiltin="1"/>
    <cellStyle name="Accent5" xfId="35" builtinId="45" customBuiltin="1"/>
    <cellStyle name="Accent6" xfId="38" builtinId="49" customBuiltin="1"/>
    <cellStyle name="Bad" xfId="13" builtinId="27" customBuiltin="1"/>
    <cellStyle name="blp_column_header" xfId="4" xr:uid="{E464DCCB-F8C7-4170-813D-02134A24FAFE}"/>
    <cellStyle name="Calculation" xfId="16" builtinId="22" customBuiltin="1"/>
    <cellStyle name="Check Cell" xfId="18" builtinId="23" customBuiltin="1"/>
    <cellStyle name="Comma" xfId="6" builtinId="3"/>
    <cellStyle name="Comma_ACN_DCF Analysis" xfId="8" xr:uid="{C601311F-E94D-484F-A2AA-18F48F2E38A3}"/>
    <cellStyle name="Currency" xfId="1" builtinId="4"/>
    <cellStyle name="Explanatory Text" xfId="21" builtinId="53" customBuiltin="1"/>
    <cellStyle name="fa_column_header_bottom" xfId="5" xr:uid="{ADF3EAAF-39E3-4562-8250-AE9EF2CD4F87}"/>
    <cellStyle name="Good" xfId="12" builtinId="26" customBuiltin="1"/>
    <cellStyle name="Heading 1" xfId="3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4" builtinId="20" customBuiltin="1"/>
    <cellStyle name="Linked Cell" xfId="17" builtinId="24" customBuiltin="1"/>
    <cellStyle name="Neutral 2" xfId="47" xr:uid="{CDC6E739-9ED3-462F-BB59-EA644413BF2C}"/>
    <cellStyle name="Normal" xfId="0" builtinId="0"/>
    <cellStyle name="Normal_TSS copy of" xfId="7" xr:uid="{2CCB4A83-FB44-4EBB-9710-68F79FDB9B0A}"/>
    <cellStyle name="Note" xfId="20" builtinId="10" customBuiltin="1"/>
    <cellStyle name="Output" xfId="15" builtinId="21" customBuiltin="1"/>
    <cellStyle name="Percent" xfId="2" builtinId="5"/>
    <cellStyle name="Title 2" xfId="48" xr:uid="{3838FDB4-5C71-4B6F-A898-FB818BC4D5DC}"/>
    <cellStyle name="Total" xfId="22" builtinId="25" customBuiltin="1"/>
    <cellStyle name="Warning Text" xfId="19" builtinId="11" customBuiltin="1"/>
  </cellStyles>
  <dxfs count="0"/>
  <tableStyles count="0" defaultTableStyle="TableStyleMedium2" defaultPivotStyle="PivotStyleLight16"/>
  <colors>
    <mruColors>
      <color rgb="FFD9E3C0"/>
      <color rgb="FF2F6E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business Segments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3ED-4983-8870-A3EBEC7BE836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3ED-4983-8870-A3EBEC7BE836}"/>
              </c:ext>
            </c:extLst>
          </c:dPt>
          <c:dPt>
            <c:idx val="2"/>
            <c:bubble3D val="0"/>
            <c:spPr>
              <a:solidFill>
                <a:schemeClr val="accent3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3ED-4983-8870-A3EBEC7BE8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'growth calculation'!$B$72:$B$74</c:f>
              <c:strCache>
                <c:ptCount val="3"/>
                <c:pt idx="0">
                  <c:v>North America</c:v>
                </c:pt>
                <c:pt idx="1">
                  <c:v>International</c:v>
                </c:pt>
                <c:pt idx="2">
                  <c:v>Channel Development</c:v>
                </c:pt>
              </c:strCache>
            </c:strRef>
          </c:cat>
          <c:val>
            <c:numRef>
              <c:f>'growth calculation'!$H$72:$H$74</c:f>
              <c:numCache>
                <c:formatCode>0.00%</c:formatCode>
                <c:ptCount val="3"/>
                <c:pt idx="0">
                  <c:v>0.747</c:v>
                </c:pt>
                <c:pt idx="1">
                  <c:v>0.20300000000000001</c:v>
                </c:pt>
                <c:pt idx="2">
                  <c:v>4.9000000000000002E-2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8-47A4-977A-F0342751337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915457</xdr:colOff>
      <xdr:row>69</xdr:row>
      <xdr:rowOff>35981</xdr:rowOff>
    </xdr:from>
    <xdr:to>
      <xdr:col>19</xdr:col>
      <xdr:colOff>285749</xdr:colOff>
      <xdr:row>85</xdr:row>
      <xdr:rowOff>-1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D36460-4847-2CE4-EAEA-A72736477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7EED-7150-418C-8A73-7FD1E6D48413}">
  <dimension ref="B1:J24"/>
  <sheetViews>
    <sheetView topLeftCell="B1" zoomScale="78" workbookViewId="0">
      <selection activeCell="C13" sqref="C13"/>
    </sheetView>
  </sheetViews>
  <sheetFormatPr defaultRowHeight="14.25"/>
  <cols>
    <col min="2" max="2" width="21.33203125" bestFit="1" customWidth="1"/>
    <col min="5" max="5" width="33.86328125" bestFit="1" customWidth="1"/>
    <col min="7" max="7" width="16.59765625" customWidth="1"/>
    <col min="8" max="8" width="26.33203125" customWidth="1"/>
    <col min="9" max="9" width="23.86328125" customWidth="1"/>
    <col min="10" max="10" width="15.46484375" customWidth="1"/>
  </cols>
  <sheetData>
    <row r="1" spans="2:10" ht="14.65" thickBot="1">
      <c r="B1" s="558" t="s">
        <v>293</v>
      </c>
      <c r="C1" s="559"/>
      <c r="D1" s="560"/>
      <c r="E1" s="53"/>
      <c r="G1" t="s">
        <v>338</v>
      </c>
      <c r="H1" s="98">
        <f>1140000000*DCF!B6</f>
        <v>104458200000</v>
      </c>
      <c r="I1" s="41"/>
      <c r="J1" s="41"/>
    </row>
    <row r="2" spans="2:10" ht="16.149999999999999" thickBot="1">
      <c r="B2" s="91" t="s">
        <v>294</v>
      </c>
      <c r="C2" s="157"/>
      <c r="D2" s="93"/>
      <c r="E2" s="35" t="s">
        <v>320</v>
      </c>
      <c r="G2" t="s">
        <v>339</v>
      </c>
      <c r="H2" s="98">
        <v>17031500000</v>
      </c>
      <c r="I2" s="35"/>
      <c r="J2" s="35"/>
    </row>
    <row r="3" spans="2:10" ht="15.75">
      <c r="B3" s="71" t="s">
        <v>297</v>
      </c>
      <c r="C3" s="69"/>
      <c r="D3" s="155">
        <v>4.3490000000000001E-2</v>
      </c>
      <c r="E3" s="110" t="s">
        <v>318</v>
      </c>
      <c r="G3" s="42"/>
      <c r="H3" s="42"/>
      <c r="I3" s="42"/>
      <c r="J3" s="42"/>
    </row>
    <row r="4" spans="2:10" ht="14.65" thickBot="1">
      <c r="B4" s="70" t="s">
        <v>294</v>
      </c>
      <c r="C4" s="156"/>
      <c r="D4" s="113">
        <f>I8</f>
        <v>3.8811173333333331E-2</v>
      </c>
      <c r="E4" s="109" t="s">
        <v>321</v>
      </c>
      <c r="G4" s="102" t="s">
        <v>305</v>
      </c>
      <c r="H4" s="102" t="s">
        <v>308</v>
      </c>
      <c r="I4" s="102" t="s">
        <v>307</v>
      </c>
      <c r="J4" s="100"/>
    </row>
    <row r="5" spans="2:10" ht="16.149999999999999" thickBot="1">
      <c r="B5" s="94" t="s">
        <v>296</v>
      </c>
      <c r="C5" s="89"/>
      <c r="D5" s="90"/>
      <c r="E5" s="110"/>
      <c r="G5" s="102">
        <v>2033</v>
      </c>
      <c r="H5" s="107">
        <v>4.9515999999999998E-2</v>
      </c>
      <c r="I5" s="108">
        <v>0.24</v>
      </c>
    </row>
    <row r="6" spans="2:10" ht="15.75">
      <c r="B6" s="71" t="s">
        <v>297</v>
      </c>
      <c r="C6" s="72"/>
      <c r="D6" s="114">
        <v>4.3490000000000001E-2</v>
      </c>
      <c r="E6" s="110"/>
      <c r="G6" s="102">
        <v>2034</v>
      </c>
      <c r="H6" s="107">
        <v>5.0587E-2</v>
      </c>
      <c r="I6" s="108">
        <v>0.24</v>
      </c>
    </row>
    <row r="7" spans="2:10" ht="15.75">
      <c r="B7" s="73" t="s">
        <v>295</v>
      </c>
      <c r="C7" s="69"/>
      <c r="D7" s="74">
        <v>0.24</v>
      </c>
      <c r="E7" s="110"/>
      <c r="G7" s="102">
        <v>2035</v>
      </c>
      <c r="H7" s="107">
        <v>5.3099E-2</v>
      </c>
      <c r="I7" s="108">
        <v>0.24</v>
      </c>
    </row>
    <row r="8" spans="2:10">
      <c r="B8" s="75" t="s">
        <v>298</v>
      </c>
      <c r="C8" s="69"/>
      <c r="D8" s="76">
        <f>H2/(H1+H2)</f>
        <v>0.14018883905384572</v>
      </c>
      <c r="E8" s="109" t="s">
        <v>319</v>
      </c>
      <c r="H8" s="105" t="s">
        <v>304</v>
      </c>
      <c r="I8" s="106">
        <f>AVERAGE(H5:H7)*(1-I5)</f>
        <v>3.8811173333333331E-2</v>
      </c>
    </row>
    <row r="9" spans="2:10" ht="16.149999999999999" thickBot="1">
      <c r="B9" s="73" t="s">
        <v>299</v>
      </c>
      <c r="C9" s="69"/>
      <c r="D9" s="115">
        <v>4.5100000000000001E-2</v>
      </c>
      <c r="E9" s="110" t="s">
        <v>322</v>
      </c>
    </row>
    <row r="10" spans="2:10" ht="16.149999999999999" thickBot="1">
      <c r="B10" s="73" t="s">
        <v>300</v>
      </c>
      <c r="C10" s="69"/>
      <c r="D10" s="117">
        <v>0.82904772077806599</v>
      </c>
      <c r="E10" s="110" t="s">
        <v>336</v>
      </c>
      <c r="G10" s="99" t="s">
        <v>309</v>
      </c>
      <c r="H10" s="158" t="s">
        <v>326</v>
      </c>
      <c r="I10" s="158" t="s">
        <v>310</v>
      </c>
      <c r="J10" s="160" t="s">
        <v>311</v>
      </c>
    </row>
    <row r="11" spans="2:10" ht="14.65" thickBot="1">
      <c r="B11" s="77" t="s">
        <v>296</v>
      </c>
      <c r="C11" s="78"/>
      <c r="D11" s="116">
        <f>D6+(D10*D9)</f>
        <v>8.0880052207090769E-2</v>
      </c>
      <c r="E11" s="36"/>
      <c r="G11" s="99" t="s">
        <v>312</v>
      </c>
      <c r="H11" s="103">
        <v>0.73799999999999999</v>
      </c>
      <c r="I11" s="103">
        <v>4.3299999999999998E-2</v>
      </c>
      <c r="J11" s="103">
        <v>3.1954999999999997E-2</v>
      </c>
    </row>
    <row r="12" spans="2:10" ht="16.149999999999999" thickBot="1">
      <c r="B12" s="79" t="s">
        <v>301</v>
      </c>
      <c r="C12" s="80"/>
      <c r="D12" s="111">
        <v>3.0450000000000001E-2</v>
      </c>
      <c r="E12" s="154" t="s">
        <v>337</v>
      </c>
      <c r="G12" s="99" t="s">
        <v>313</v>
      </c>
      <c r="H12" s="103">
        <v>8.3000000000000004E-2</v>
      </c>
      <c r="I12" s="103">
        <v>5.2699999999999997E-2</v>
      </c>
      <c r="J12" s="103">
        <v>4.3740000000000003E-3</v>
      </c>
    </row>
    <row r="13" spans="2:10" ht="16.149999999999999" thickBot="1">
      <c r="B13" s="81" t="s">
        <v>267</v>
      </c>
      <c r="C13" s="82"/>
      <c r="D13" s="83">
        <f>(D8*D4)+((1-D8)*D11)</f>
        <v>7.4982464917481867E-2</v>
      </c>
      <c r="E13" s="34"/>
      <c r="G13" s="99" t="s">
        <v>314</v>
      </c>
      <c r="H13" s="103">
        <v>0.06</v>
      </c>
      <c r="I13" s="103">
        <v>4.3299999999999998E-2</v>
      </c>
      <c r="J13" s="103">
        <v>2.598E-3</v>
      </c>
    </row>
    <row r="14" spans="2:10" ht="14.65" thickBot="1">
      <c r="G14" s="99" t="s">
        <v>315</v>
      </c>
      <c r="H14" s="103">
        <v>0.06</v>
      </c>
      <c r="I14" s="103">
        <v>5.2699999999999997E-2</v>
      </c>
      <c r="J14" s="103">
        <v>3.1619999999999999E-3</v>
      </c>
    </row>
    <row r="15" spans="2:10" ht="14.65" thickBot="1">
      <c r="G15" s="99" t="s">
        <v>316</v>
      </c>
      <c r="H15" s="103">
        <v>5.8999999999999997E-2</v>
      </c>
      <c r="I15" s="103">
        <v>5.1299999999999998E-2</v>
      </c>
      <c r="J15" s="103">
        <v>3.0270000000000002E-3</v>
      </c>
    </row>
    <row r="16" spans="2:10">
      <c r="B16" s="562" t="s">
        <v>306</v>
      </c>
      <c r="C16" s="562"/>
      <c r="D16" s="562"/>
      <c r="H16" s="137" t="s">
        <v>317</v>
      </c>
      <c r="I16" s="137"/>
      <c r="J16" s="104">
        <f>SUM(J11:J15)</f>
        <v>4.5116000000000003E-2</v>
      </c>
    </row>
    <row r="18" spans="7:10" ht="16.149999999999999" thickBot="1">
      <c r="G18" s="34"/>
      <c r="H18" s="34"/>
      <c r="I18" s="34"/>
      <c r="J18" s="34"/>
    </row>
    <row r="19" spans="7:10" ht="28.5">
      <c r="G19" s="128" t="s">
        <v>329</v>
      </c>
      <c r="H19" s="159" t="s">
        <v>330</v>
      </c>
      <c r="I19" s="129" t="s">
        <v>341</v>
      </c>
      <c r="J19" s="125" t="s">
        <v>340</v>
      </c>
    </row>
    <row r="20" spans="7:10" ht="15.75">
      <c r="G20" s="130" t="s">
        <v>331</v>
      </c>
      <c r="H20" s="126">
        <v>0.6</v>
      </c>
      <c r="I20" s="127">
        <v>0.02</v>
      </c>
      <c r="J20" s="131">
        <f>I20*H20</f>
        <v>1.2E-2</v>
      </c>
    </row>
    <row r="21" spans="7:10" ht="15.75">
      <c r="G21" s="130" t="s">
        <v>313</v>
      </c>
      <c r="H21" s="126">
        <v>0.25</v>
      </c>
      <c r="I21" s="127">
        <v>0.04</v>
      </c>
      <c r="J21" s="131">
        <f t="shared" ref="J21:J23" si="0">I21*H21</f>
        <v>0.01</v>
      </c>
    </row>
    <row r="22" spans="7:10" ht="15.75">
      <c r="G22" s="130" t="s">
        <v>332</v>
      </c>
      <c r="H22" s="126">
        <v>0.1</v>
      </c>
      <c r="I22" s="127">
        <v>6.3E-2</v>
      </c>
      <c r="J22" s="131">
        <f t="shared" si="0"/>
        <v>6.3E-3</v>
      </c>
    </row>
    <row r="23" spans="7:10" ht="16.149999999999999" thickBot="1">
      <c r="G23" s="132" t="s">
        <v>333</v>
      </c>
      <c r="H23" s="133">
        <v>0.05</v>
      </c>
      <c r="I23" s="134">
        <v>4.2999999999999997E-2</v>
      </c>
      <c r="J23" s="135">
        <f t="shared" si="0"/>
        <v>2.15E-3</v>
      </c>
    </row>
    <row r="24" spans="7:10" ht="15.75">
      <c r="G24" s="34"/>
      <c r="H24" s="561" t="s">
        <v>335</v>
      </c>
      <c r="I24" s="561"/>
      <c r="J24" s="136">
        <f>SUM(J20:J23)</f>
        <v>3.0449999999999998E-2</v>
      </c>
    </row>
  </sheetData>
  <mergeCells count="3">
    <mergeCell ref="B1:D1"/>
    <mergeCell ref="H24:I24"/>
    <mergeCell ref="B16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63D2-86E5-4030-B9FA-5AA37EDD90D0}">
  <dimension ref="A1:S130"/>
  <sheetViews>
    <sheetView workbookViewId="0">
      <selection activeCell="N1" sqref="N1:S130"/>
    </sheetView>
  </sheetViews>
  <sheetFormatPr defaultRowHeight="14.25"/>
  <cols>
    <col min="1" max="1" width="18" bestFit="1" customWidth="1"/>
    <col min="2" max="2" width="12.33203125" bestFit="1" customWidth="1"/>
    <col min="3" max="3" width="12.53125" bestFit="1" customWidth="1"/>
    <col min="4" max="4" width="12.33203125" bestFit="1" customWidth="1"/>
    <col min="5" max="5" width="11.73046875" bestFit="1" customWidth="1"/>
    <col min="6" max="6" width="12" bestFit="1" customWidth="1"/>
    <col min="7" max="9" width="11.73046875" bestFit="1" customWidth="1"/>
    <col min="14" max="14" width="9.9296875" bestFit="1" customWidth="1"/>
  </cols>
  <sheetData>
    <row r="1" spans="1:19" ht="14.65" thickBot="1">
      <c r="N1" t="s">
        <v>451</v>
      </c>
      <c r="O1" t="s">
        <v>291</v>
      </c>
      <c r="P1" t="s">
        <v>452</v>
      </c>
      <c r="R1" t="s">
        <v>453</v>
      </c>
      <c r="S1" t="s">
        <v>454</v>
      </c>
    </row>
    <row r="2" spans="1:19" ht="14.65" thickTop="1">
      <c r="A2" s="531" t="s">
        <v>426</v>
      </c>
      <c r="B2" s="532"/>
      <c r="C2" s="532"/>
      <c r="D2" s="532"/>
      <c r="E2" s="532"/>
      <c r="F2" s="532"/>
      <c r="G2" s="532"/>
      <c r="H2" s="532"/>
      <c r="I2" s="533"/>
      <c r="N2" s="546">
        <v>45657</v>
      </c>
      <c r="O2">
        <v>91.25</v>
      </c>
      <c r="P2">
        <v>5881.63</v>
      </c>
      <c r="R2">
        <f>LN(O3/O2)</f>
        <v>0.11586948604845526</v>
      </c>
      <c r="S2">
        <f>LN(P3/P2)</f>
        <v>2.5307691689834107E-2</v>
      </c>
    </row>
    <row r="3" spans="1:19" ht="14.65" thickBot="1">
      <c r="A3" s="534"/>
      <c r="I3" s="535"/>
      <c r="N3" s="546">
        <v>45625</v>
      </c>
      <c r="O3">
        <v>102.46</v>
      </c>
      <c r="P3">
        <v>6032.38</v>
      </c>
      <c r="R3">
        <f t="shared" ref="R3:S66" si="0">LN(O4/O3)</f>
        <v>-4.7570919462319124E-2</v>
      </c>
      <c r="S3">
        <f t="shared" si="0"/>
        <v>-5.5719767688528703E-2</v>
      </c>
    </row>
    <row r="4" spans="1:19">
      <c r="A4" s="536" t="s">
        <v>427</v>
      </c>
      <c r="B4" s="537"/>
      <c r="I4" s="535"/>
      <c r="N4" s="546">
        <v>45596</v>
      </c>
      <c r="O4">
        <v>97.7</v>
      </c>
      <c r="P4">
        <v>5705.45</v>
      </c>
      <c r="R4">
        <f t="shared" si="0"/>
        <v>-2.1517504075570051E-3</v>
      </c>
      <c r="S4">
        <f t="shared" si="0"/>
        <v>9.9460792205519621E-3</v>
      </c>
    </row>
    <row r="5" spans="1:19">
      <c r="A5" s="534" t="s">
        <v>428</v>
      </c>
      <c r="B5">
        <v>0.53451543072866559</v>
      </c>
      <c r="I5" s="535"/>
      <c r="N5" s="546">
        <v>45565</v>
      </c>
      <c r="O5">
        <v>97.49</v>
      </c>
      <c r="P5">
        <v>5762.48</v>
      </c>
      <c r="R5">
        <f t="shared" si="0"/>
        <v>-3.0409507613759414E-2</v>
      </c>
      <c r="S5">
        <f t="shared" si="0"/>
        <v>-1.9995618387948944E-2</v>
      </c>
    </row>
    <row r="6" spans="1:19">
      <c r="A6" s="534" t="s">
        <v>429</v>
      </c>
      <c r="B6">
        <v>0.28570674568705096</v>
      </c>
      <c r="I6" s="535"/>
      <c r="N6" s="546">
        <v>45534</v>
      </c>
      <c r="O6">
        <v>94.57</v>
      </c>
      <c r="P6">
        <v>5648.4</v>
      </c>
      <c r="R6">
        <f t="shared" si="0"/>
        <v>-0.19327270552363518</v>
      </c>
      <c r="S6">
        <f t="shared" si="0"/>
        <v>-2.2577879038739607E-2</v>
      </c>
    </row>
    <row r="7" spans="1:19">
      <c r="A7" s="534" t="s">
        <v>430</v>
      </c>
      <c r="B7">
        <v>0.28003775160520217</v>
      </c>
      <c r="I7" s="535"/>
      <c r="N7" s="546">
        <v>45504</v>
      </c>
      <c r="O7">
        <v>77.95</v>
      </c>
      <c r="P7">
        <v>5522.3</v>
      </c>
      <c r="R7">
        <f t="shared" si="0"/>
        <v>-1.283697223778331E-3</v>
      </c>
      <c r="S7">
        <f t="shared" si="0"/>
        <v>-1.1257742193535699E-2</v>
      </c>
    </row>
    <row r="8" spans="1:19">
      <c r="A8" s="534" t="s">
        <v>431</v>
      </c>
      <c r="B8">
        <v>5.6827586010421947E-2</v>
      </c>
      <c r="I8" s="535"/>
      <c r="N8" s="546">
        <v>45471</v>
      </c>
      <c r="O8">
        <v>77.849999999999994</v>
      </c>
      <c r="P8">
        <v>5460.48</v>
      </c>
      <c r="R8">
        <f t="shared" si="0"/>
        <v>2.9988962061899441E-2</v>
      </c>
      <c r="S8">
        <f t="shared" si="0"/>
        <v>-3.408230240557078E-2</v>
      </c>
    </row>
    <row r="9" spans="1:19" ht="14.65" thickBot="1">
      <c r="A9" s="538" t="s">
        <v>432</v>
      </c>
      <c r="B9" s="435">
        <v>128</v>
      </c>
      <c r="I9" s="535"/>
      <c r="N9" s="546">
        <v>45443</v>
      </c>
      <c r="O9">
        <v>80.22</v>
      </c>
      <c r="P9">
        <v>5277.51</v>
      </c>
      <c r="R9">
        <f t="shared" si="0"/>
        <v>9.8116690937351925E-2</v>
      </c>
      <c r="S9">
        <f t="shared" si="0"/>
        <v>-4.6903838078814208E-2</v>
      </c>
    </row>
    <row r="10" spans="1:19">
      <c r="A10" s="534"/>
      <c r="I10" s="535"/>
      <c r="N10" s="546">
        <v>45412</v>
      </c>
      <c r="O10">
        <v>88.49</v>
      </c>
      <c r="P10">
        <v>5035.6899999999996</v>
      </c>
      <c r="R10">
        <f t="shared" si="0"/>
        <v>3.2246512004851562E-2</v>
      </c>
      <c r="S10">
        <f t="shared" si="0"/>
        <v>4.2505747459993568E-2</v>
      </c>
    </row>
    <row r="11" spans="1:19" ht="14.65" thickBot="1">
      <c r="A11" s="534" t="s">
        <v>433</v>
      </c>
      <c r="I11" s="535"/>
      <c r="N11" s="546">
        <v>45380</v>
      </c>
      <c r="O11">
        <v>91.39</v>
      </c>
      <c r="P11">
        <v>5254.35</v>
      </c>
      <c r="R11">
        <f t="shared" si="0"/>
        <v>3.7687642331771902E-2</v>
      </c>
      <c r="S11">
        <f t="shared" si="0"/>
        <v>-3.0547405358412098E-2</v>
      </c>
    </row>
    <row r="12" spans="1:19">
      <c r="A12" s="539"/>
      <c r="B12" s="540" t="s">
        <v>434</v>
      </c>
      <c r="C12" s="540" t="s">
        <v>435</v>
      </c>
      <c r="D12" s="540" t="s">
        <v>436</v>
      </c>
      <c r="E12" s="540" t="s">
        <v>437</v>
      </c>
      <c r="F12" s="540" t="s">
        <v>438</v>
      </c>
      <c r="I12" s="535"/>
      <c r="N12" s="546">
        <v>45351</v>
      </c>
      <c r="O12">
        <v>94.9</v>
      </c>
      <c r="P12">
        <v>5096.2700000000004</v>
      </c>
      <c r="R12">
        <f t="shared" si="0"/>
        <v>-1.9901683835414942E-2</v>
      </c>
      <c r="S12">
        <f t="shared" si="0"/>
        <v>-5.0427504326927095E-2</v>
      </c>
    </row>
    <row r="13" spans="1:19">
      <c r="A13" s="534" t="s">
        <v>439</v>
      </c>
      <c r="B13">
        <v>1</v>
      </c>
      <c r="C13">
        <v>0.16275446309449909</v>
      </c>
      <c r="D13">
        <v>0.16275446309449909</v>
      </c>
      <c r="E13">
        <v>50.398137934530133</v>
      </c>
      <c r="F13">
        <v>8.1104662120234786E-11</v>
      </c>
      <c r="I13" s="535"/>
      <c r="N13" s="546">
        <v>45322</v>
      </c>
      <c r="O13">
        <v>93.03</v>
      </c>
      <c r="P13">
        <v>4845.6499999999996</v>
      </c>
      <c r="R13">
        <f t="shared" si="0"/>
        <v>3.1530330929065084E-2</v>
      </c>
      <c r="S13">
        <f t="shared" si="0"/>
        <v>-1.577073041880115E-2</v>
      </c>
    </row>
    <row r="14" spans="1:19">
      <c r="A14" s="534" t="s">
        <v>440</v>
      </c>
      <c r="B14">
        <v>126</v>
      </c>
      <c r="C14">
        <v>0.40690119100325989</v>
      </c>
      <c r="D14">
        <v>3.229374531771904E-3</v>
      </c>
      <c r="I14" s="535"/>
      <c r="N14" s="546">
        <v>45289</v>
      </c>
      <c r="O14">
        <v>96.01</v>
      </c>
      <c r="P14">
        <v>4769.83</v>
      </c>
      <c r="R14">
        <f t="shared" si="0"/>
        <v>3.3693218341594326E-2</v>
      </c>
      <c r="S14">
        <f t="shared" si="0"/>
        <v>-4.3278976294068017E-2</v>
      </c>
    </row>
    <row r="15" spans="1:19" ht="14.65" thickBot="1">
      <c r="A15" s="538" t="s">
        <v>441</v>
      </c>
      <c r="B15" s="435">
        <v>127</v>
      </c>
      <c r="C15" s="435">
        <v>0.56965565409775898</v>
      </c>
      <c r="D15" s="435"/>
      <c r="E15" s="435"/>
      <c r="F15" s="435"/>
      <c r="I15" s="535"/>
      <c r="N15" s="546">
        <v>45260</v>
      </c>
      <c r="O15">
        <v>99.3</v>
      </c>
      <c r="P15">
        <v>4567.8</v>
      </c>
      <c r="R15">
        <f t="shared" si="0"/>
        <v>-7.3751695090323394E-2</v>
      </c>
      <c r="S15">
        <f t="shared" si="0"/>
        <v>-8.5424444387576626E-2</v>
      </c>
    </row>
    <row r="16" spans="1:19" ht="14.65" thickBot="1">
      <c r="A16" s="534"/>
      <c r="I16" s="535"/>
      <c r="N16" s="546">
        <v>45230</v>
      </c>
      <c r="O16">
        <v>92.24</v>
      </c>
      <c r="P16">
        <v>4193.8</v>
      </c>
      <c r="R16">
        <f t="shared" si="0"/>
        <v>-1.0571729432017646E-2</v>
      </c>
      <c r="S16">
        <f t="shared" si="0"/>
        <v>2.2224839977771443E-2</v>
      </c>
    </row>
    <row r="17" spans="1:19">
      <c r="A17" s="539"/>
      <c r="B17" s="540" t="s">
        <v>442</v>
      </c>
      <c r="C17" s="540" t="s">
        <v>431</v>
      </c>
      <c r="D17" s="540" t="s">
        <v>443</v>
      </c>
      <c r="E17" s="540" t="s">
        <v>444</v>
      </c>
      <c r="F17" s="540" t="s">
        <v>445</v>
      </c>
      <c r="G17" s="540" t="s">
        <v>446</v>
      </c>
      <c r="H17" s="540" t="s">
        <v>447</v>
      </c>
      <c r="I17" s="541" t="s">
        <v>448</v>
      </c>
      <c r="N17" s="546">
        <v>45198</v>
      </c>
      <c r="O17">
        <v>91.27</v>
      </c>
      <c r="P17">
        <v>4288.05</v>
      </c>
      <c r="R17">
        <f t="shared" si="0"/>
        <v>6.5414657432801018E-2</v>
      </c>
      <c r="S17">
        <f t="shared" si="0"/>
        <v>4.9946087711970885E-2</v>
      </c>
    </row>
    <row r="18" spans="1:19">
      <c r="A18" s="534" t="s">
        <v>449</v>
      </c>
      <c r="B18">
        <v>-4.3721720671759286E-5</v>
      </c>
      <c r="C18">
        <v>5.1291658759675621E-3</v>
      </c>
      <c r="D18">
        <v>-8.5241385693169171E-3</v>
      </c>
      <c r="E18">
        <v>0.99321228537444251</v>
      </c>
      <c r="F18">
        <v>-1.0194190201945064E-2</v>
      </c>
      <c r="G18">
        <v>1.0106746760601547E-2</v>
      </c>
      <c r="H18">
        <v>-1.0194190201945064E-2</v>
      </c>
      <c r="I18" s="535">
        <v>1.0106746760601547E-2</v>
      </c>
      <c r="N18" s="546">
        <v>45169</v>
      </c>
      <c r="O18">
        <v>97.44</v>
      </c>
      <c r="P18">
        <v>4507.66</v>
      </c>
      <c r="R18">
        <f t="shared" si="0"/>
        <v>4.1511411989822833E-2</v>
      </c>
      <c r="S18">
        <f t="shared" si="0"/>
        <v>1.7875247018488517E-2</v>
      </c>
    </row>
    <row r="19" spans="1:19" ht="14.65" thickBot="1">
      <c r="A19" s="542" t="s">
        <v>450</v>
      </c>
      <c r="B19" s="543">
        <v>0.82904772077806599</v>
      </c>
      <c r="C19" s="544">
        <v>0.11678102539892164</v>
      </c>
      <c r="D19" s="544">
        <v>7.0991645941286725</v>
      </c>
      <c r="E19" s="544">
        <v>8.1104662120234786E-11</v>
      </c>
      <c r="F19" s="544">
        <v>0.59794150464327922</v>
      </c>
      <c r="G19" s="544">
        <v>1.0601539369128523</v>
      </c>
      <c r="H19" s="544">
        <v>0.59794150464327922</v>
      </c>
      <c r="I19" s="545">
        <v>1.0601539369128523</v>
      </c>
      <c r="N19" s="546">
        <v>45138</v>
      </c>
      <c r="O19">
        <v>101.57</v>
      </c>
      <c r="P19">
        <v>4588.96</v>
      </c>
      <c r="R19">
        <f t="shared" si="0"/>
        <v>-2.5022488791318073E-2</v>
      </c>
      <c r="S19">
        <f t="shared" si="0"/>
        <v>-3.0663933087959921E-2</v>
      </c>
    </row>
    <row r="20" spans="1:19" ht="14.65" thickTop="1">
      <c r="N20" s="546">
        <v>45107</v>
      </c>
      <c r="O20">
        <v>99.06</v>
      </c>
      <c r="P20">
        <v>4450.38</v>
      </c>
      <c r="R20">
        <f t="shared" si="0"/>
        <v>-1.4438481635332351E-2</v>
      </c>
      <c r="S20">
        <f t="shared" si="0"/>
        <v>-6.2718909937614559E-2</v>
      </c>
    </row>
    <row r="21" spans="1:19">
      <c r="N21" s="546">
        <v>45077</v>
      </c>
      <c r="O21">
        <v>97.64</v>
      </c>
      <c r="P21">
        <v>4179.83</v>
      </c>
      <c r="R21">
        <f t="shared" si="0"/>
        <v>0.15745183238474722</v>
      </c>
      <c r="S21">
        <f t="shared" si="0"/>
        <v>-2.4792480579840389E-3</v>
      </c>
    </row>
    <row r="22" spans="1:19">
      <c r="N22" s="546">
        <v>45044</v>
      </c>
      <c r="O22">
        <v>114.29</v>
      </c>
      <c r="P22">
        <v>4169.4799999999996</v>
      </c>
      <c r="R22">
        <f t="shared" si="0"/>
        <v>-9.3098959367702086E-2</v>
      </c>
      <c r="S22">
        <f t="shared" si="0"/>
        <v>-1.4536196592679783E-2</v>
      </c>
    </row>
    <row r="23" spans="1:19">
      <c r="N23" s="546">
        <v>45016</v>
      </c>
      <c r="O23">
        <v>104.13</v>
      </c>
      <c r="P23">
        <v>4109.3100000000004</v>
      </c>
      <c r="R23">
        <f t="shared" si="0"/>
        <v>-1.9785341360880483E-2</v>
      </c>
      <c r="S23">
        <f t="shared" si="0"/>
        <v>-3.4451253841860534E-2</v>
      </c>
    </row>
    <row r="24" spans="1:19">
      <c r="N24" s="546">
        <v>44985</v>
      </c>
      <c r="O24">
        <v>102.09</v>
      </c>
      <c r="P24">
        <v>3970.15</v>
      </c>
      <c r="R24">
        <f t="shared" si="0"/>
        <v>6.6776684577161793E-2</v>
      </c>
      <c r="S24">
        <f t="shared" si="0"/>
        <v>2.6459430306852598E-2</v>
      </c>
    </row>
    <row r="25" spans="1:19">
      <c r="N25" s="546">
        <v>44957</v>
      </c>
      <c r="O25">
        <v>109.14</v>
      </c>
      <c r="P25">
        <v>4076.6</v>
      </c>
      <c r="R25">
        <f t="shared" si="0"/>
        <v>-9.5493447467258769E-2</v>
      </c>
      <c r="S25">
        <f t="shared" si="0"/>
        <v>-5.9921157879031725E-2</v>
      </c>
    </row>
    <row r="26" spans="1:19">
      <c r="N26" s="546">
        <v>44925</v>
      </c>
      <c r="O26">
        <v>99.2</v>
      </c>
      <c r="P26">
        <v>3839.5</v>
      </c>
      <c r="R26">
        <f t="shared" si="0"/>
        <v>2.9793663478776978E-2</v>
      </c>
      <c r="S26">
        <f t="shared" si="0"/>
        <v>6.0781799048487566E-2</v>
      </c>
    </row>
    <row r="27" spans="1:19">
      <c r="N27" s="546">
        <v>44895</v>
      </c>
      <c r="O27">
        <v>102.2</v>
      </c>
      <c r="P27">
        <v>4080.11</v>
      </c>
      <c r="R27">
        <f t="shared" si="0"/>
        <v>-0.16574734230989424</v>
      </c>
      <c r="S27">
        <f t="shared" si="0"/>
        <v>-5.2357944725214448E-2</v>
      </c>
    </row>
    <row r="28" spans="1:19">
      <c r="N28" s="546">
        <v>44865</v>
      </c>
      <c r="O28">
        <v>86.59</v>
      </c>
      <c r="P28">
        <v>3871.98</v>
      </c>
      <c r="R28">
        <f t="shared" si="0"/>
        <v>-2.7277078908839288E-2</v>
      </c>
      <c r="S28">
        <f t="shared" si="0"/>
        <v>-7.6834602195741397E-2</v>
      </c>
    </row>
    <row r="29" spans="1:19">
      <c r="N29" s="546">
        <v>44834</v>
      </c>
      <c r="O29">
        <v>84.26</v>
      </c>
      <c r="P29">
        <v>3585.62</v>
      </c>
      <c r="R29">
        <f t="shared" si="0"/>
        <v>-2.2574714036651352E-3</v>
      </c>
      <c r="S29">
        <f t="shared" si="0"/>
        <v>9.8049199303624338E-2</v>
      </c>
    </row>
    <row r="30" spans="1:19">
      <c r="N30" s="546">
        <v>44804</v>
      </c>
      <c r="O30">
        <v>84.07</v>
      </c>
      <c r="P30">
        <v>3955</v>
      </c>
      <c r="R30">
        <f t="shared" si="0"/>
        <v>8.4098807772857512E-3</v>
      </c>
      <c r="S30">
        <f t="shared" si="0"/>
        <v>4.3367021205837103E-2</v>
      </c>
    </row>
    <row r="31" spans="1:19">
      <c r="N31" s="546">
        <v>44771</v>
      </c>
      <c r="O31">
        <v>84.78</v>
      </c>
      <c r="P31">
        <v>4130.29</v>
      </c>
      <c r="R31">
        <f t="shared" si="0"/>
        <v>-0.1042078683712227</v>
      </c>
      <c r="S31">
        <f t="shared" si="0"/>
        <v>-8.7201344274224712E-2</v>
      </c>
    </row>
    <row r="32" spans="1:19">
      <c r="N32" s="546">
        <v>44742</v>
      </c>
      <c r="O32">
        <v>76.39</v>
      </c>
      <c r="P32">
        <v>3785.38</v>
      </c>
      <c r="R32">
        <f t="shared" si="0"/>
        <v>2.7246827235094511E-2</v>
      </c>
      <c r="S32">
        <f t="shared" si="0"/>
        <v>8.7651574480173342E-2</v>
      </c>
    </row>
    <row r="33" spans="14:19">
      <c r="N33" s="546">
        <v>44712</v>
      </c>
      <c r="O33">
        <v>78.5</v>
      </c>
      <c r="P33">
        <v>4132.1499999999996</v>
      </c>
      <c r="R33">
        <f t="shared" si="0"/>
        <v>-5.0422068249274303E-2</v>
      </c>
      <c r="S33">
        <f t="shared" si="0"/>
        <v>-5.3242466203467103E-5</v>
      </c>
    </row>
    <row r="34" spans="14:19">
      <c r="N34" s="546">
        <v>44680</v>
      </c>
      <c r="O34">
        <v>74.64</v>
      </c>
      <c r="P34">
        <v>4131.93</v>
      </c>
      <c r="R34">
        <f t="shared" si="0"/>
        <v>0.19785322529488208</v>
      </c>
      <c r="S34">
        <f t="shared" si="0"/>
        <v>9.2067832960435317E-2</v>
      </c>
    </row>
    <row r="35" spans="14:19">
      <c r="N35" s="546">
        <v>44651</v>
      </c>
      <c r="O35">
        <v>90.97</v>
      </c>
      <c r="P35">
        <v>4530.41</v>
      </c>
      <c r="R35">
        <f t="shared" si="0"/>
        <v>8.9735773970292393E-3</v>
      </c>
      <c r="S35">
        <f t="shared" si="0"/>
        <v>-3.5148238386268314E-2</v>
      </c>
    </row>
    <row r="36" spans="14:19">
      <c r="N36" s="546">
        <v>44620</v>
      </c>
      <c r="O36">
        <v>91.79</v>
      </c>
      <c r="P36">
        <v>4373.9399999999996</v>
      </c>
      <c r="R36">
        <f t="shared" si="0"/>
        <v>6.8724106026779641E-2</v>
      </c>
      <c r="S36">
        <f t="shared" si="0"/>
        <v>3.1862790878923075E-2</v>
      </c>
    </row>
    <row r="37" spans="14:19">
      <c r="N37" s="546">
        <v>44592</v>
      </c>
      <c r="O37">
        <v>98.32</v>
      </c>
      <c r="P37">
        <v>4515.55</v>
      </c>
      <c r="R37">
        <f t="shared" si="0"/>
        <v>0.17369002640483633</v>
      </c>
      <c r="S37">
        <f t="shared" si="0"/>
        <v>5.4018149865018919E-2</v>
      </c>
    </row>
    <row r="38" spans="14:19">
      <c r="N38" s="546">
        <v>44561</v>
      </c>
      <c r="O38">
        <v>116.97</v>
      </c>
      <c r="P38">
        <v>4766.18</v>
      </c>
      <c r="R38">
        <f t="shared" si="0"/>
        <v>-6.4715220228030654E-2</v>
      </c>
      <c r="S38">
        <f t="shared" si="0"/>
        <v>-4.2688611280446612E-2</v>
      </c>
    </row>
    <row r="39" spans="14:19">
      <c r="N39" s="546">
        <v>44530</v>
      </c>
      <c r="O39">
        <v>109.64</v>
      </c>
      <c r="P39">
        <v>4567</v>
      </c>
      <c r="R39">
        <f t="shared" si="0"/>
        <v>-3.3103017917206275E-2</v>
      </c>
      <c r="S39">
        <f t="shared" si="0"/>
        <v>8.368651100988625E-3</v>
      </c>
    </row>
    <row r="40" spans="14:19">
      <c r="N40" s="546">
        <v>44498</v>
      </c>
      <c r="O40">
        <v>106.07</v>
      </c>
      <c r="P40">
        <v>4605.38</v>
      </c>
      <c r="R40">
        <f t="shared" si="0"/>
        <v>3.9195330463911625E-2</v>
      </c>
      <c r="S40">
        <f t="shared" si="0"/>
        <v>-6.6858209798173654E-2</v>
      </c>
    </row>
    <row r="41" spans="14:19">
      <c r="N41" s="546">
        <v>44469</v>
      </c>
      <c r="O41">
        <v>110.31</v>
      </c>
      <c r="P41">
        <v>4307.54</v>
      </c>
      <c r="R41">
        <f t="shared" si="0"/>
        <v>6.3058639598190899E-2</v>
      </c>
      <c r="S41">
        <f t="shared" si="0"/>
        <v>4.8737762984622714E-2</v>
      </c>
    </row>
    <row r="42" spans="14:19">
      <c r="N42" s="546">
        <v>44439</v>
      </c>
      <c r="O42">
        <v>117.49</v>
      </c>
      <c r="P42">
        <v>4522.68</v>
      </c>
      <c r="R42">
        <f t="shared" si="0"/>
        <v>3.2984741486246354E-2</v>
      </c>
      <c r="S42">
        <f t="shared" si="0"/>
        <v>-2.8578050968689116E-2</v>
      </c>
    </row>
    <row r="43" spans="14:19">
      <c r="N43" s="546">
        <v>44407</v>
      </c>
      <c r="O43">
        <v>121.43</v>
      </c>
      <c r="P43">
        <v>4395.26</v>
      </c>
      <c r="R43">
        <f t="shared" si="0"/>
        <v>-8.253696290645085E-2</v>
      </c>
      <c r="S43">
        <f t="shared" si="0"/>
        <v>-2.2493229246743161E-2</v>
      </c>
    </row>
    <row r="44" spans="14:19">
      <c r="N44" s="546">
        <v>44377</v>
      </c>
      <c r="O44">
        <v>111.81</v>
      </c>
      <c r="P44">
        <v>4297.5</v>
      </c>
      <c r="R44">
        <f t="shared" si="0"/>
        <v>1.8344260250559963E-2</v>
      </c>
      <c r="S44">
        <f t="shared" si="0"/>
        <v>-2.1970840045862142E-2</v>
      </c>
    </row>
    <row r="45" spans="14:19">
      <c r="N45" s="546">
        <v>44347</v>
      </c>
      <c r="O45">
        <v>113.88</v>
      </c>
      <c r="P45">
        <v>4204.1099999999997</v>
      </c>
      <c r="R45">
        <f t="shared" si="0"/>
        <v>5.3422205258841617E-3</v>
      </c>
      <c r="S45">
        <f t="shared" si="0"/>
        <v>-5.4715065520220723E-3</v>
      </c>
    </row>
    <row r="46" spans="14:19">
      <c r="N46" s="546">
        <v>44316</v>
      </c>
      <c r="O46">
        <v>114.49</v>
      </c>
      <c r="P46">
        <v>4181.17</v>
      </c>
      <c r="R46">
        <f t="shared" si="0"/>
        <v>-4.6665599353066953E-2</v>
      </c>
      <c r="S46">
        <f t="shared" si="0"/>
        <v>-5.1097322114293901E-2</v>
      </c>
    </row>
    <row r="47" spans="14:19">
      <c r="N47" s="546">
        <v>44286</v>
      </c>
      <c r="O47">
        <v>109.27</v>
      </c>
      <c r="P47">
        <v>3972.89</v>
      </c>
      <c r="R47">
        <f t="shared" si="0"/>
        <v>-1.1412917253760386E-2</v>
      </c>
      <c r="S47">
        <f t="shared" si="0"/>
        <v>-4.1562808697442916E-2</v>
      </c>
    </row>
    <row r="48" spans="14:19">
      <c r="N48" s="546">
        <v>44253</v>
      </c>
      <c r="O48">
        <v>108.03</v>
      </c>
      <c r="P48">
        <v>3811.15</v>
      </c>
      <c r="R48">
        <f t="shared" si="0"/>
        <v>-0.10965867159691335</v>
      </c>
      <c r="S48">
        <f t="shared" si="0"/>
        <v>-2.5756899667125573E-2</v>
      </c>
    </row>
    <row r="49" spans="14:19">
      <c r="N49" s="546">
        <v>44225</v>
      </c>
      <c r="O49">
        <v>96.81</v>
      </c>
      <c r="P49">
        <v>3714.24</v>
      </c>
      <c r="R49">
        <f t="shared" si="0"/>
        <v>9.9891606371123931E-2</v>
      </c>
      <c r="S49">
        <f t="shared" si="0"/>
        <v>1.1199116821942301E-2</v>
      </c>
    </row>
    <row r="50" spans="14:19">
      <c r="N50" s="546">
        <v>44196</v>
      </c>
      <c r="O50">
        <v>106.98</v>
      </c>
      <c r="P50">
        <v>3756.07</v>
      </c>
      <c r="R50">
        <f t="shared" si="0"/>
        <v>-8.7470361621702658E-2</v>
      </c>
      <c r="S50">
        <f t="shared" si="0"/>
        <v>-3.6448997283216183E-2</v>
      </c>
    </row>
    <row r="51" spans="14:19">
      <c r="N51" s="546">
        <v>44165</v>
      </c>
      <c r="O51">
        <v>98.02</v>
      </c>
      <c r="P51">
        <v>3621.63</v>
      </c>
      <c r="R51">
        <f t="shared" si="0"/>
        <v>-0.11972329666844742</v>
      </c>
      <c r="S51">
        <f t="shared" si="0"/>
        <v>-0.10214644831840346</v>
      </c>
    </row>
    <row r="52" spans="14:19">
      <c r="N52" s="546">
        <v>44134</v>
      </c>
      <c r="O52">
        <v>86.96</v>
      </c>
      <c r="P52">
        <v>3269.96</v>
      </c>
      <c r="R52">
        <f t="shared" si="0"/>
        <v>-1.2031612052399372E-2</v>
      </c>
      <c r="S52">
        <f t="shared" si="0"/>
        <v>2.8055680339689314E-2</v>
      </c>
    </row>
    <row r="53" spans="14:19">
      <c r="N53" s="546">
        <v>44104</v>
      </c>
      <c r="O53">
        <v>85.92</v>
      </c>
      <c r="P53">
        <v>3363</v>
      </c>
      <c r="R53">
        <f t="shared" si="0"/>
        <v>-1.7020189021149344E-2</v>
      </c>
      <c r="S53">
        <f t="shared" si="0"/>
        <v>4.0018103243589481E-2</v>
      </c>
    </row>
    <row r="54" spans="14:19">
      <c r="N54" s="546">
        <v>44074</v>
      </c>
      <c r="O54">
        <v>84.47</v>
      </c>
      <c r="P54">
        <v>3500.31</v>
      </c>
      <c r="R54">
        <f t="shared" si="0"/>
        <v>-9.8713620917575545E-2</v>
      </c>
      <c r="S54">
        <f t="shared" si="0"/>
        <v>-6.771910208965376E-2</v>
      </c>
    </row>
    <row r="55" spans="14:19">
      <c r="N55" s="546">
        <v>44043</v>
      </c>
      <c r="O55">
        <v>76.53</v>
      </c>
      <c r="P55">
        <v>3271.12</v>
      </c>
      <c r="R55">
        <f t="shared" si="0"/>
        <v>-3.9173673883322095E-2</v>
      </c>
      <c r="S55">
        <f t="shared" si="0"/>
        <v>-5.3636778409248437E-2</v>
      </c>
    </row>
    <row r="56" spans="14:19">
      <c r="N56" s="546">
        <v>44012</v>
      </c>
      <c r="O56">
        <v>73.59</v>
      </c>
      <c r="P56">
        <v>3100.29</v>
      </c>
      <c r="R56">
        <f t="shared" si="0"/>
        <v>5.8071466403898861E-2</v>
      </c>
      <c r="S56">
        <f t="shared" si="0"/>
        <v>-1.8221381004063553E-2</v>
      </c>
    </row>
    <row r="57" spans="14:19">
      <c r="N57" s="546">
        <v>43980</v>
      </c>
      <c r="O57">
        <v>77.989999999999995</v>
      </c>
      <c r="P57">
        <v>3044.31</v>
      </c>
      <c r="R57">
        <f t="shared" si="0"/>
        <v>-1.628784715283273E-2</v>
      </c>
      <c r="S57">
        <f t="shared" si="0"/>
        <v>-4.4286490230530495E-2</v>
      </c>
    </row>
    <row r="58" spans="14:19">
      <c r="N58" s="546">
        <v>43951</v>
      </c>
      <c r="O58">
        <v>76.73</v>
      </c>
      <c r="P58">
        <v>2912.43</v>
      </c>
      <c r="R58">
        <f t="shared" si="0"/>
        <v>-0.15458519795350065</v>
      </c>
      <c r="S58">
        <f t="shared" si="0"/>
        <v>-0.11942089623740579</v>
      </c>
    </row>
    <row r="59" spans="14:19">
      <c r="N59" s="546">
        <v>43921</v>
      </c>
      <c r="O59">
        <v>65.739999999999995</v>
      </c>
      <c r="P59">
        <v>2584.59</v>
      </c>
      <c r="R59">
        <f t="shared" si="0"/>
        <v>0.17649893898850191</v>
      </c>
      <c r="S59">
        <f t="shared" si="0"/>
        <v>0.13366776859296706</v>
      </c>
    </row>
    <row r="60" spans="14:19">
      <c r="N60" s="546">
        <v>43889</v>
      </c>
      <c r="O60">
        <v>78.430000000000007</v>
      </c>
      <c r="P60">
        <v>2954.22</v>
      </c>
      <c r="R60">
        <f t="shared" si="0"/>
        <v>7.8442746595068211E-2</v>
      </c>
      <c r="S60">
        <f t="shared" si="0"/>
        <v>8.7859520936204888E-2</v>
      </c>
    </row>
    <row r="61" spans="14:19">
      <c r="N61" s="546">
        <v>43861</v>
      </c>
      <c r="O61">
        <v>84.83</v>
      </c>
      <c r="P61">
        <v>3225.52</v>
      </c>
      <c r="R61">
        <f t="shared" si="0"/>
        <v>3.5778056275722614E-2</v>
      </c>
      <c r="S61">
        <f t="shared" si="0"/>
        <v>1.6294165896176618E-3</v>
      </c>
    </row>
    <row r="62" spans="14:19">
      <c r="N62" s="546">
        <v>43830</v>
      </c>
      <c r="O62">
        <v>87.92</v>
      </c>
      <c r="P62">
        <v>3230.78</v>
      </c>
      <c r="R62">
        <f t="shared" si="0"/>
        <v>-2.8729982931838524E-2</v>
      </c>
      <c r="S62">
        <f t="shared" si="0"/>
        <v>-2.8188741012289468E-2</v>
      </c>
    </row>
    <row r="63" spans="14:19">
      <c r="N63" s="546">
        <v>43798</v>
      </c>
      <c r="O63">
        <v>85.43</v>
      </c>
      <c r="P63">
        <v>3140.98</v>
      </c>
      <c r="R63">
        <f t="shared" si="0"/>
        <v>-1.0235985601545103E-2</v>
      </c>
      <c r="S63">
        <f t="shared" si="0"/>
        <v>-3.3480291579323015E-2</v>
      </c>
    </row>
    <row r="64" spans="14:19">
      <c r="N64" s="546">
        <v>43769</v>
      </c>
      <c r="O64">
        <v>84.56</v>
      </c>
      <c r="P64">
        <v>3037.56</v>
      </c>
      <c r="R64">
        <f t="shared" si="0"/>
        <v>4.4636846836114984E-2</v>
      </c>
      <c r="S64">
        <f t="shared" si="0"/>
        <v>-2.0225819582931071E-2</v>
      </c>
    </row>
    <row r="65" spans="14:19">
      <c r="N65" s="546">
        <v>43738</v>
      </c>
      <c r="O65">
        <v>88.42</v>
      </c>
      <c r="P65">
        <v>2976.74</v>
      </c>
      <c r="R65">
        <f t="shared" si="0"/>
        <v>8.8066388391178974E-2</v>
      </c>
      <c r="S65">
        <f t="shared" si="0"/>
        <v>-1.7035240523677806E-2</v>
      </c>
    </row>
    <row r="66" spans="14:19">
      <c r="N66" s="546">
        <v>43707</v>
      </c>
      <c r="O66">
        <v>96.56</v>
      </c>
      <c r="P66">
        <v>2926.46</v>
      </c>
      <c r="R66">
        <f t="shared" si="0"/>
        <v>-1.9556178793867358E-2</v>
      </c>
      <c r="S66">
        <f t="shared" si="0"/>
        <v>1.8257307714875239E-2</v>
      </c>
    </row>
    <row r="67" spans="14:19">
      <c r="N67" s="546">
        <v>43677</v>
      </c>
      <c r="O67">
        <v>94.69</v>
      </c>
      <c r="P67">
        <v>2980.38</v>
      </c>
      <c r="R67">
        <f t="shared" ref="R67:S130" si="1">LN(O68/O67)</f>
        <v>-0.12181745934564278</v>
      </c>
      <c r="S67">
        <f t="shared" si="1"/>
        <v>-1.3042767473010447E-2</v>
      </c>
    </row>
    <row r="68" spans="14:19">
      <c r="N68" s="546">
        <v>43644</v>
      </c>
      <c r="O68">
        <v>83.83</v>
      </c>
      <c r="P68">
        <v>2941.76</v>
      </c>
      <c r="R68">
        <f t="shared" si="1"/>
        <v>-9.7268436149652304E-2</v>
      </c>
      <c r="S68">
        <f t="shared" si="1"/>
        <v>-6.6658319534241492E-2</v>
      </c>
    </row>
    <row r="69" spans="14:19">
      <c r="N69" s="546">
        <v>43616</v>
      </c>
      <c r="O69">
        <v>76.06</v>
      </c>
      <c r="P69">
        <v>2752.06</v>
      </c>
      <c r="R69">
        <f t="shared" si="1"/>
        <v>2.1075321482955992E-2</v>
      </c>
      <c r="S69">
        <f t="shared" si="1"/>
        <v>6.8040888853204307E-2</v>
      </c>
    </row>
    <row r="70" spans="14:19">
      <c r="N70" s="546">
        <v>43585</v>
      </c>
      <c r="O70">
        <v>77.680000000000007</v>
      </c>
      <c r="P70">
        <v>2945.83</v>
      </c>
      <c r="R70">
        <f t="shared" si="1"/>
        <v>-4.3948659113963492E-2</v>
      </c>
      <c r="S70">
        <f t="shared" si="1"/>
        <v>-3.8560336443090364E-2</v>
      </c>
    </row>
    <row r="71" spans="14:19">
      <c r="N71" s="546">
        <v>43553</v>
      </c>
      <c r="O71">
        <v>74.34</v>
      </c>
      <c r="P71">
        <v>2834.4</v>
      </c>
      <c r="R71">
        <f t="shared" si="1"/>
        <v>-5.6446518031425121E-2</v>
      </c>
      <c r="S71">
        <f t="shared" si="1"/>
        <v>-1.7765541837019984E-2</v>
      </c>
    </row>
    <row r="72" spans="14:19">
      <c r="N72" s="546">
        <v>43524</v>
      </c>
      <c r="O72">
        <v>70.260000000000005</v>
      </c>
      <c r="P72">
        <v>2784.49</v>
      </c>
      <c r="R72">
        <f t="shared" si="1"/>
        <v>-3.0638234604860499E-2</v>
      </c>
      <c r="S72">
        <f t="shared" si="1"/>
        <v>-2.9295592986693382E-2</v>
      </c>
    </row>
    <row r="73" spans="14:19">
      <c r="N73" s="546">
        <v>43496</v>
      </c>
      <c r="O73">
        <v>68.14</v>
      </c>
      <c r="P73">
        <v>2704.1</v>
      </c>
      <c r="R73">
        <f t="shared" si="1"/>
        <v>-5.6450779122512527E-2</v>
      </c>
      <c r="S73">
        <f t="shared" si="1"/>
        <v>-7.5742154828375707E-2</v>
      </c>
    </row>
    <row r="74" spans="14:19">
      <c r="N74" s="546">
        <v>43465</v>
      </c>
      <c r="O74">
        <v>64.400000000000006</v>
      </c>
      <c r="P74">
        <v>2506.85</v>
      </c>
      <c r="R74">
        <f t="shared" si="1"/>
        <v>3.5391124940183219E-2</v>
      </c>
      <c r="S74">
        <f t="shared" si="1"/>
        <v>9.6265287118076096E-2</v>
      </c>
    </row>
    <row r="75" spans="14:19">
      <c r="N75" s="546">
        <v>43434</v>
      </c>
      <c r="O75">
        <v>66.72</v>
      </c>
      <c r="P75">
        <v>2760.17</v>
      </c>
      <c r="R75">
        <f t="shared" si="1"/>
        <v>-0.13541737689550842</v>
      </c>
      <c r="S75">
        <f t="shared" si="1"/>
        <v>-1.7701776759294813E-2</v>
      </c>
    </row>
    <row r="76" spans="14:19">
      <c r="N76" s="546">
        <v>43404</v>
      </c>
      <c r="O76">
        <v>58.27</v>
      </c>
      <c r="P76">
        <v>2711.74</v>
      </c>
      <c r="R76">
        <f t="shared" si="1"/>
        <v>-2.4847077926082962E-2</v>
      </c>
      <c r="S76">
        <f t="shared" si="1"/>
        <v>7.1929349055660174E-2</v>
      </c>
    </row>
    <row r="77" spans="14:19">
      <c r="N77" s="546">
        <v>43371</v>
      </c>
      <c r="O77">
        <v>56.84</v>
      </c>
      <c r="P77">
        <v>2913.98</v>
      </c>
      <c r="R77">
        <f t="shared" si="1"/>
        <v>-6.1493665757845678E-2</v>
      </c>
      <c r="S77">
        <f t="shared" si="1"/>
        <v>-4.2851067203218043E-3</v>
      </c>
    </row>
    <row r="78" spans="14:19">
      <c r="N78" s="546">
        <v>43343</v>
      </c>
      <c r="O78">
        <v>53.45</v>
      </c>
      <c r="P78">
        <v>2901.52</v>
      </c>
      <c r="R78">
        <f t="shared" si="1"/>
        <v>-2.0030904050925901E-2</v>
      </c>
      <c r="S78">
        <f t="shared" si="1"/>
        <v>-2.981432166319474E-2</v>
      </c>
    </row>
    <row r="79" spans="14:19">
      <c r="N79" s="546">
        <v>43312</v>
      </c>
      <c r="O79">
        <v>52.39</v>
      </c>
      <c r="P79">
        <v>2816.29</v>
      </c>
      <c r="R79">
        <f t="shared" si="1"/>
        <v>-6.9961354931336622E-2</v>
      </c>
      <c r="S79">
        <f t="shared" si="1"/>
        <v>-3.5387979976799107E-2</v>
      </c>
    </row>
    <row r="80" spans="14:19">
      <c r="N80" s="546">
        <v>43280</v>
      </c>
      <c r="O80">
        <v>48.85</v>
      </c>
      <c r="P80">
        <v>2718.37</v>
      </c>
      <c r="R80">
        <f t="shared" si="1"/>
        <v>0.1484905916927361</v>
      </c>
      <c r="S80">
        <f t="shared" si="1"/>
        <v>-4.8307134968018257E-3</v>
      </c>
    </row>
    <row r="81" spans="14:19">
      <c r="N81" s="546">
        <v>43251</v>
      </c>
      <c r="O81">
        <v>56.67</v>
      </c>
      <c r="P81">
        <v>2705.27</v>
      </c>
      <c r="R81">
        <f t="shared" si="1"/>
        <v>1.575662850619023E-2</v>
      </c>
      <c r="S81">
        <f t="shared" si="1"/>
        <v>-2.1378202402637513E-2</v>
      </c>
    </row>
    <row r="82" spans="14:19">
      <c r="N82" s="546">
        <v>43220</v>
      </c>
      <c r="O82">
        <v>57.57</v>
      </c>
      <c r="P82">
        <v>2648.05</v>
      </c>
      <c r="R82">
        <f t="shared" si="1"/>
        <v>5.5430594031951304E-3</v>
      </c>
      <c r="S82">
        <f t="shared" si="1"/>
        <v>-2.7151117471288394E-3</v>
      </c>
    </row>
    <row r="83" spans="14:19">
      <c r="N83" s="546">
        <v>43189</v>
      </c>
      <c r="O83">
        <v>57.89</v>
      </c>
      <c r="P83">
        <v>2640.87</v>
      </c>
      <c r="R83">
        <f t="shared" si="1"/>
        <v>-1.3740541428948747E-2</v>
      </c>
      <c r="S83">
        <f t="shared" si="1"/>
        <v>2.7252512953792475E-2</v>
      </c>
    </row>
    <row r="84" spans="14:19">
      <c r="N84" s="546">
        <v>43159</v>
      </c>
      <c r="O84">
        <v>57.1</v>
      </c>
      <c r="P84">
        <v>2713.83</v>
      </c>
      <c r="R84">
        <f t="shared" si="1"/>
        <v>-5.091750092929009E-3</v>
      </c>
      <c r="S84">
        <f t="shared" si="1"/>
        <v>3.9726115635920614E-2</v>
      </c>
    </row>
    <row r="85" spans="14:19">
      <c r="N85" s="546">
        <v>43131</v>
      </c>
      <c r="O85">
        <v>56.81</v>
      </c>
      <c r="P85">
        <v>2823.81</v>
      </c>
      <c r="R85">
        <f t="shared" si="1"/>
        <v>1.0854448307169648E-2</v>
      </c>
      <c r="S85">
        <f t="shared" si="1"/>
        <v>-5.4657417787024855E-2</v>
      </c>
    </row>
    <row r="86" spans="14:19">
      <c r="N86" s="546">
        <v>43098</v>
      </c>
      <c r="O86">
        <v>57.43</v>
      </c>
      <c r="P86">
        <v>2673.61</v>
      </c>
      <c r="R86">
        <f t="shared" si="1"/>
        <v>6.767921711994882E-3</v>
      </c>
      <c r="S86">
        <f t="shared" si="1"/>
        <v>-9.7836039043627324E-3</v>
      </c>
    </row>
    <row r="87" spans="14:19">
      <c r="N87" s="546">
        <v>43069</v>
      </c>
      <c r="O87">
        <v>57.82</v>
      </c>
      <c r="P87">
        <v>2647.58</v>
      </c>
      <c r="R87">
        <f t="shared" si="1"/>
        <v>-5.2914881894086323E-2</v>
      </c>
      <c r="S87">
        <f t="shared" si="1"/>
        <v>-2.769551533064863E-2</v>
      </c>
    </row>
    <row r="88" spans="14:19">
      <c r="N88" s="546">
        <v>43039</v>
      </c>
      <c r="O88">
        <v>54.84</v>
      </c>
      <c r="P88">
        <v>2575.2600000000002</v>
      </c>
      <c r="R88">
        <f t="shared" si="1"/>
        <v>-2.0820650776745723E-2</v>
      </c>
      <c r="S88">
        <f t="shared" si="1"/>
        <v>-2.1945598878305019E-2</v>
      </c>
    </row>
    <row r="89" spans="14:19">
      <c r="N89" s="546">
        <v>43007</v>
      </c>
      <c r="O89">
        <v>53.71</v>
      </c>
      <c r="P89">
        <v>2519.36</v>
      </c>
      <c r="R89">
        <f t="shared" si="1"/>
        <v>2.1185281592089246E-2</v>
      </c>
      <c r="S89">
        <f t="shared" si="1"/>
        <v>-1.9118957203248785E-2</v>
      </c>
    </row>
    <row r="90" spans="14:19">
      <c r="N90" s="546">
        <v>42978</v>
      </c>
      <c r="O90">
        <v>54.86</v>
      </c>
      <c r="P90">
        <v>2471.65</v>
      </c>
      <c r="R90">
        <f t="shared" si="1"/>
        <v>-1.6170877919598668E-2</v>
      </c>
      <c r="S90">
        <f t="shared" si="1"/>
        <v>-5.4634305631584557E-4</v>
      </c>
    </row>
    <row r="91" spans="14:19">
      <c r="N91" s="546">
        <v>42947</v>
      </c>
      <c r="O91">
        <v>53.98</v>
      </c>
      <c r="P91">
        <v>2470.3000000000002</v>
      </c>
      <c r="R91">
        <f t="shared" si="1"/>
        <v>7.7159997644206071E-2</v>
      </c>
      <c r="S91">
        <f t="shared" si="1"/>
        <v>-1.9163961513693505E-2</v>
      </c>
    </row>
    <row r="92" spans="14:19">
      <c r="N92" s="546">
        <v>42916</v>
      </c>
      <c r="O92">
        <v>58.31</v>
      </c>
      <c r="P92">
        <v>2423.41</v>
      </c>
      <c r="R92">
        <f t="shared" si="1"/>
        <v>8.6997085456648221E-2</v>
      </c>
      <c r="S92">
        <f t="shared" si="1"/>
        <v>-4.8022825533520263E-3</v>
      </c>
    </row>
    <row r="93" spans="14:19">
      <c r="N93" s="546">
        <v>42886</v>
      </c>
      <c r="O93">
        <v>63.61</v>
      </c>
      <c r="P93">
        <v>2411.8000000000002</v>
      </c>
      <c r="R93">
        <f t="shared" si="1"/>
        <v>-5.7426628135528637E-2</v>
      </c>
      <c r="S93">
        <f t="shared" si="1"/>
        <v>-1.1509718385591082E-2</v>
      </c>
    </row>
    <row r="94" spans="14:19">
      <c r="N94" s="546">
        <v>42853</v>
      </c>
      <c r="O94">
        <v>60.06</v>
      </c>
      <c r="P94">
        <v>2384.1999999999998</v>
      </c>
      <c r="R94">
        <f t="shared" si="1"/>
        <v>-2.819942025973798E-2</v>
      </c>
      <c r="S94">
        <f t="shared" si="1"/>
        <v>-9.0501405584374195E-3</v>
      </c>
    </row>
    <row r="95" spans="14:19">
      <c r="N95" s="546">
        <v>42825</v>
      </c>
      <c r="O95">
        <v>58.39</v>
      </c>
      <c r="P95">
        <v>2362.7199999999998</v>
      </c>
      <c r="R95">
        <f t="shared" si="1"/>
        <v>-2.6376680976738016E-2</v>
      </c>
      <c r="S95">
        <f t="shared" si="1"/>
        <v>3.8930594013989698E-4</v>
      </c>
    </row>
    <row r="96" spans="14:19">
      <c r="N96" s="546">
        <v>42794</v>
      </c>
      <c r="O96">
        <v>56.87</v>
      </c>
      <c r="P96">
        <v>2363.64</v>
      </c>
      <c r="R96">
        <f t="shared" si="1"/>
        <v>-2.9442754816699918E-2</v>
      </c>
      <c r="S96">
        <f t="shared" si="1"/>
        <v>-3.6523097609435604E-2</v>
      </c>
    </row>
    <row r="97" spans="14:19">
      <c r="N97" s="546">
        <v>42766</v>
      </c>
      <c r="O97">
        <v>55.22</v>
      </c>
      <c r="P97">
        <v>2278.87</v>
      </c>
      <c r="R97">
        <f t="shared" si="1"/>
        <v>5.4181096965406853E-3</v>
      </c>
      <c r="S97">
        <f t="shared" si="1"/>
        <v>-1.7726298093009695E-2</v>
      </c>
    </row>
    <row r="98" spans="14:19">
      <c r="N98" s="546">
        <v>42734</v>
      </c>
      <c r="O98">
        <v>55.52</v>
      </c>
      <c r="P98">
        <v>2238.83</v>
      </c>
      <c r="R98">
        <f t="shared" si="1"/>
        <v>4.318231915309232E-2</v>
      </c>
      <c r="S98">
        <f t="shared" si="1"/>
        <v>-1.8037103051757344E-2</v>
      </c>
    </row>
    <row r="99" spans="14:19">
      <c r="N99" s="546">
        <v>42704</v>
      </c>
      <c r="O99">
        <v>57.97</v>
      </c>
      <c r="P99">
        <v>2198.81</v>
      </c>
      <c r="R99">
        <f t="shared" si="1"/>
        <v>-8.8313838511837855E-2</v>
      </c>
      <c r="S99">
        <f t="shared" si="1"/>
        <v>-3.3603472465471115E-2</v>
      </c>
    </row>
    <row r="100" spans="14:19">
      <c r="N100" s="546">
        <v>42674</v>
      </c>
      <c r="O100">
        <v>53.07</v>
      </c>
      <c r="P100">
        <v>2126.15</v>
      </c>
      <c r="R100">
        <f t="shared" si="1"/>
        <v>1.9961487346351517E-2</v>
      </c>
      <c r="S100">
        <f t="shared" si="1"/>
        <v>1.9616782104688885E-2</v>
      </c>
    </row>
    <row r="101" spans="14:19">
      <c r="N101" s="546">
        <v>42643</v>
      </c>
      <c r="O101">
        <v>54.14</v>
      </c>
      <c r="P101">
        <v>2168.27</v>
      </c>
      <c r="R101">
        <f t="shared" si="1"/>
        <v>3.7877138117955129E-2</v>
      </c>
      <c r="S101">
        <f t="shared" si="1"/>
        <v>1.2352452011047546E-3</v>
      </c>
    </row>
    <row r="102" spans="14:19">
      <c r="N102" s="546">
        <v>42613</v>
      </c>
      <c r="O102">
        <v>56.23</v>
      </c>
      <c r="P102">
        <v>2170.9499999999998</v>
      </c>
      <c r="R102">
        <f t="shared" si="1"/>
        <v>3.185428583979024E-2</v>
      </c>
      <c r="S102">
        <f t="shared" si="1"/>
        <v>1.2199193604148296E-3</v>
      </c>
    </row>
    <row r="103" spans="14:19">
      <c r="N103" s="546">
        <v>42580</v>
      </c>
      <c r="O103">
        <v>58.05</v>
      </c>
      <c r="P103">
        <v>2173.6</v>
      </c>
      <c r="R103">
        <f t="shared" si="1"/>
        <v>-1.6150390112571533E-2</v>
      </c>
      <c r="S103">
        <f t="shared" si="1"/>
        <v>-3.4990438943766668E-2</v>
      </c>
    </row>
    <row r="104" spans="14:19">
      <c r="N104" s="546">
        <v>42551</v>
      </c>
      <c r="O104">
        <v>57.12</v>
      </c>
      <c r="P104">
        <v>2098.86</v>
      </c>
      <c r="R104">
        <f t="shared" si="1"/>
        <v>-3.9823135469531076E-2</v>
      </c>
      <c r="S104">
        <f t="shared" si="1"/>
        <v>-9.0566331723919641E-4</v>
      </c>
    </row>
    <row r="105" spans="14:19">
      <c r="N105" s="546">
        <v>42521</v>
      </c>
      <c r="O105">
        <v>54.89</v>
      </c>
      <c r="P105">
        <v>2096.96</v>
      </c>
      <c r="R105">
        <f t="shared" si="1"/>
        <v>2.4119239742312379E-2</v>
      </c>
      <c r="S105">
        <f t="shared" si="1"/>
        <v>-1.5213182557527788E-2</v>
      </c>
    </row>
    <row r="106" spans="14:19">
      <c r="N106" s="546">
        <v>42489</v>
      </c>
      <c r="O106">
        <v>56.23</v>
      </c>
      <c r="P106">
        <v>2065.3000000000002</v>
      </c>
      <c r="R106">
        <f t="shared" si="1"/>
        <v>5.9881598094446084E-2</v>
      </c>
      <c r="S106">
        <f t="shared" si="1"/>
        <v>-2.6957330678163858E-3</v>
      </c>
    </row>
    <row r="107" spans="14:19">
      <c r="N107" s="546">
        <v>42460</v>
      </c>
      <c r="O107">
        <v>59.7</v>
      </c>
      <c r="P107">
        <v>2059.7399999999998</v>
      </c>
      <c r="R107">
        <f t="shared" si="1"/>
        <v>-2.5274859114912254E-2</v>
      </c>
      <c r="S107">
        <f t="shared" si="1"/>
        <v>-6.3904984919882529E-2</v>
      </c>
    </row>
    <row r="108" spans="14:19">
      <c r="N108" s="546">
        <v>42429</v>
      </c>
      <c r="O108">
        <v>58.21</v>
      </c>
      <c r="P108">
        <v>1932.23</v>
      </c>
      <c r="R108">
        <f t="shared" si="1"/>
        <v>4.3039084863619792E-2</v>
      </c>
      <c r="S108">
        <f t="shared" si="1"/>
        <v>4.1369004400578059E-3</v>
      </c>
    </row>
    <row r="109" spans="14:19">
      <c r="N109" s="546">
        <v>42398</v>
      </c>
      <c r="O109">
        <v>60.77</v>
      </c>
      <c r="P109">
        <v>1940.24</v>
      </c>
      <c r="R109">
        <f t="shared" si="1"/>
        <v>-1.2251808883512154E-2</v>
      </c>
      <c r="S109">
        <f t="shared" si="1"/>
        <v>5.2067640939352358E-2</v>
      </c>
    </row>
    <row r="110" spans="14:19">
      <c r="N110" s="546">
        <v>42369</v>
      </c>
      <c r="O110">
        <v>60.03</v>
      </c>
      <c r="P110">
        <v>2043.94</v>
      </c>
      <c r="R110">
        <f t="shared" si="1"/>
        <v>2.2402518175653148E-2</v>
      </c>
      <c r="S110">
        <f t="shared" si="1"/>
        <v>1.7685671969978708E-2</v>
      </c>
    </row>
    <row r="111" spans="14:19">
      <c r="N111" s="546">
        <v>42338</v>
      </c>
      <c r="O111">
        <v>61.39</v>
      </c>
      <c r="P111">
        <v>2080.41</v>
      </c>
      <c r="R111">
        <f t="shared" si="1"/>
        <v>1.9038974570867145E-2</v>
      </c>
      <c r="S111">
        <f t="shared" si="1"/>
        <v>-5.0483561461329605E-4</v>
      </c>
    </row>
    <row r="112" spans="14:19">
      <c r="N112" s="546">
        <v>42307</v>
      </c>
      <c r="O112">
        <v>62.57</v>
      </c>
      <c r="P112">
        <v>2079.36</v>
      </c>
      <c r="R112">
        <f t="shared" si="1"/>
        <v>-9.6045626781372143E-2</v>
      </c>
      <c r="S112">
        <f t="shared" si="1"/>
        <v>-7.9719343140922702E-2</v>
      </c>
    </row>
    <row r="113" spans="14:19">
      <c r="N113" s="546">
        <v>42277</v>
      </c>
      <c r="O113">
        <v>56.84</v>
      </c>
      <c r="P113">
        <v>1920.03</v>
      </c>
      <c r="R113">
        <f t="shared" si="1"/>
        <v>-3.8193795153165323E-2</v>
      </c>
      <c r="S113">
        <f t="shared" si="1"/>
        <v>2.6798718987715867E-2</v>
      </c>
    </row>
    <row r="114" spans="14:19">
      <c r="N114" s="546">
        <v>42247</v>
      </c>
      <c r="O114">
        <v>54.71</v>
      </c>
      <c r="P114">
        <v>1972.18</v>
      </c>
      <c r="R114">
        <f t="shared" si="1"/>
        <v>5.7188877032798242E-2</v>
      </c>
      <c r="S114">
        <f t="shared" si="1"/>
        <v>6.4624716451134684E-2</v>
      </c>
    </row>
    <row r="115" spans="14:19">
      <c r="N115" s="546">
        <v>42216</v>
      </c>
      <c r="O115">
        <v>57.93</v>
      </c>
      <c r="P115">
        <v>2103.84</v>
      </c>
      <c r="R115">
        <f t="shared" si="1"/>
        <v>-7.7406505436423689E-2</v>
      </c>
      <c r="S115">
        <f t="shared" si="1"/>
        <v>-1.9549693281665316E-2</v>
      </c>
    </row>
    <row r="116" spans="14:19">
      <c r="N116" s="546">
        <v>42185</v>
      </c>
      <c r="O116">
        <v>53.615000000000002</v>
      </c>
      <c r="P116">
        <v>2063.11</v>
      </c>
      <c r="R116">
        <f t="shared" si="1"/>
        <v>-3.1354687869710227E-2</v>
      </c>
      <c r="S116">
        <f t="shared" si="1"/>
        <v>2.1235661913586661E-2</v>
      </c>
    </row>
    <row r="117" spans="14:19">
      <c r="N117" s="546">
        <v>42153</v>
      </c>
      <c r="O117">
        <v>51.96</v>
      </c>
      <c r="P117">
        <v>2107.39</v>
      </c>
      <c r="R117">
        <f t="shared" si="1"/>
        <v>-4.6886665195354386E-2</v>
      </c>
      <c r="S117">
        <f t="shared" si="1"/>
        <v>-1.043678533183987E-2</v>
      </c>
    </row>
    <row r="118" spans="14:19">
      <c r="N118" s="546">
        <v>42124</v>
      </c>
      <c r="O118">
        <v>49.58</v>
      </c>
      <c r="P118">
        <v>2085.5100000000002</v>
      </c>
      <c r="R118">
        <f t="shared" si="1"/>
        <v>-4.6020706974957158E-2</v>
      </c>
      <c r="S118">
        <f t="shared" si="1"/>
        <v>-8.4846659144497596E-3</v>
      </c>
    </row>
    <row r="119" spans="14:19">
      <c r="N119" s="546">
        <v>42094</v>
      </c>
      <c r="O119">
        <v>47.35</v>
      </c>
      <c r="P119">
        <v>2067.89</v>
      </c>
      <c r="R119">
        <f t="shared" si="1"/>
        <v>-1.291300457479513E-2</v>
      </c>
      <c r="S119">
        <f t="shared" si="1"/>
        <v>1.7549145486384671E-2</v>
      </c>
    </row>
    <row r="120" spans="14:19">
      <c r="N120" s="546">
        <v>42062</v>
      </c>
      <c r="O120">
        <v>46.7425</v>
      </c>
      <c r="P120">
        <v>2104.5</v>
      </c>
      <c r="R120">
        <f t="shared" si="1"/>
        <v>-6.5819403872890814E-2</v>
      </c>
      <c r="S120">
        <f t="shared" si="1"/>
        <v>-5.343887143055253E-2</v>
      </c>
    </row>
    <row r="121" spans="14:19">
      <c r="N121" s="546">
        <v>42034</v>
      </c>
      <c r="O121">
        <v>43.765000000000001</v>
      </c>
      <c r="P121">
        <v>1994.99</v>
      </c>
      <c r="R121">
        <f t="shared" si="1"/>
        <v>-6.4652774208246819E-2</v>
      </c>
      <c r="S121">
        <f t="shared" si="1"/>
        <v>3.1532821802625892E-2</v>
      </c>
    </row>
    <row r="122" spans="14:19">
      <c r="N122" s="546">
        <v>42004</v>
      </c>
      <c r="O122">
        <v>41.024999999999999</v>
      </c>
      <c r="P122">
        <v>2058.9</v>
      </c>
      <c r="R122">
        <f t="shared" si="1"/>
        <v>-1.0290425241780421E-2</v>
      </c>
      <c r="S122">
        <f t="shared" si="1"/>
        <v>4.1973084502866884E-3</v>
      </c>
    </row>
    <row r="123" spans="14:19">
      <c r="N123" s="546">
        <v>41971</v>
      </c>
      <c r="O123">
        <v>40.604999999999997</v>
      </c>
      <c r="P123">
        <v>2067.56</v>
      </c>
      <c r="R123">
        <f t="shared" si="1"/>
        <v>-7.2111349661010571E-2</v>
      </c>
      <c r="S123">
        <f t="shared" si="1"/>
        <v>-2.4237469419438662E-2</v>
      </c>
    </row>
    <row r="124" spans="14:19">
      <c r="N124" s="546">
        <v>41943</v>
      </c>
      <c r="O124">
        <v>37.78</v>
      </c>
      <c r="P124">
        <v>2018.05</v>
      </c>
      <c r="R124">
        <f t="shared" si="1"/>
        <v>-1.3243280971444655E-3</v>
      </c>
      <c r="S124">
        <f t="shared" si="1"/>
        <v>-2.2936394439525519E-2</v>
      </c>
    </row>
    <row r="125" spans="14:19">
      <c r="N125" s="546">
        <v>41912</v>
      </c>
      <c r="O125">
        <v>37.729999999999997</v>
      </c>
      <c r="P125">
        <v>1972.29</v>
      </c>
      <c r="R125">
        <f t="shared" si="1"/>
        <v>3.0667243092674483E-2</v>
      </c>
      <c r="S125">
        <f t="shared" si="1"/>
        <v>1.5635458348246391E-2</v>
      </c>
    </row>
    <row r="126" spans="14:19">
      <c r="N126" s="546">
        <v>41880</v>
      </c>
      <c r="O126">
        <v>38.905000000000001</v>
      </c>
      <c r="P126">
        <v>2003.37</v>
      </c>
      <c r="R126">
        <f t="shared" si="1"/>
        <v>-1.67213364576918E-3</v>
      </c>
      <c r="S126">
        <f t="shared" si="1"/>
        <v>-3.696366960697859E-2</v>
      </c>
    </row>
    <row r="127" spans="14:19">
      <c r="N127" s="546">
        <v>41851</v>
      </c>
      <c r="O127">
        <v>38.840000000000003</v>
      </c>
      <c r="P127">
        <v>1930.67</v>
      </c>
      <c r="R127">
        <f t="shared" si="1"/>
        <v>-3.8694747107026715E-3</v>
      </c>
      <c r="S127">
        <f t="shared" si="1"/>
        <v>1.51947203634357E-2</v>
      </c>
    </row>
    <row r="128" spans="14:19">
      <c r="N128" s="546">
        <v>41820</v>
      </c>
      <c r="O128">
        <v>38.69</v>
      </c>
      <c r="P128">
        <v>1960.23</v>
      </c>
      <c r="R128">
        <f t="shared" si="1"/>
        <v>-5.4986629466056897E-2</v>
      </c>
      <c r="S128">
        <f t="shared" si="1"/>
        <v>-1.8878978754786349E-2</v>
      </c>
    </row>
    <row r="129" spans="14:19">
      <c r="N129" s="546">
        <v>41789</v>
      </c>
      <c r="O129">
        <v>36.619999999999997</v>
      </c>
      <c r="P129">
        <v>1923.57</v>
      </c>
      <c r="R129">
        <f t="shared" si="1"/>
        <v>-3.6428329306069457E-2</v>
      </c>
      <c r="S129">
        <f t="shared" si="1"/>
        <v>-2.081219801793471E-2</v>
      </c>
    </row>
    <row r="130" spans="14:19">
      <c r="N130" s="546">
        <v>41759</v>
      </c>
      <c r="O130">
        <v>35.31</v>
      </c>
      <c r="P130">
        <v>1883.95</v>
      </c>
      <c r="R130" t="e">
        <f t="shared" si="1"/>
        <v>#NUM!</v>
      </c>
      <c r="S130" t="e">
        <f t="shared" si="1"/>
        <v>#NUM!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469B3-76B1-4830-A3A9-4339BA6845EC}">
  <dimension ref="A1:L21"/>
  <sheetViews>
    <sheetView zoomScale="88" workbookViewId="0">
      <selection activeCell="B3" sqref="B3:H9"/>
    </sheetView>
  </sheetViews>
  <sheetFormatPr defaultRowHeight="14.25"/>
  <cols>
    <col min="1" max="1" width="12.06640625" bestFit="1" customWidth="1"/>
    <col min="2" max="2" width="15.1328125" bestFit="1" customWidth="1"/>
    <col min="3" max="7" width="9.796875" bestFit="1" customWidth="1"/>
    <col min="11" max="11" width="13.19921875" bestFit="1" customWidth="1"/>
    <col min="12" max="12" width="9.265625" bestFit="1" customWidth="1"/>
  </cols>
  <sheetData>
    <row r="1" spans="1:12">
      <c r="K1" t="s">
        <v>384</v>
      </c>
      <c r="L1" s="88">
        <f>DCF!U51</f>
        <v>130718.56814875423</v>
      </c>
    </row>
    <row r="2" spans="1:12" ht="15.75">
      <c r="A2" s="35"/>
      <c r="B2" s="35"/>
      <c r="C2" s="35"/>
      <c r="D2" s="35"/>
      <c r="E2" s="35"/>
      <c r="F2" s="35"/>
      <c r="G2" s="35"/>
      <c r="H2" s="35"/>
      <c r="I2" s="35"/>
      <c r="K2" t="s">
        <v>383</v>
      </c>
      <c r="L2">
        <f>DCF!U56</f>
        <v>102.60812995504757</v>
      </c>
    </row>
    <row r="3" spans="1:12" ht="16.149999999999999" thickBot="1">
      <c r="A3" s="34"/>
      <c r="B3" s="34"/>
      <c r="C3" s="35" t="s">
        <v>324</v>
      </c>
      <c r="D3" s="34"/>
      <c r="E3" s="34"/>
      <c r="F3" s="35" t="s">
        <v>323</v>
      </c>
      <c r="G3" s="34"/>
      <c r="H3" s="34"/>
      <c r="I3" s="34"/>
      <c r="K3" t="s">
        <v>301</v>
      </c>
      <c r="L3" s="18">
        <f>DCF!U46</f>
        <v>3.0450000000000001E-2</v>
      </c>
    </row>
    <row r="4" spans="1:12" ht="16.5" thickTop="1" thickBot="1">
      <c r="A4" s="34"/>
      <c r="B4" s="34"/>
      <c r="C4" s="161">
        <f>S11</f>
        <v>0</v>
      </c>
      <c r="D4" s="162">
        <f>F4-0.5%</f>
        <v>6.9982464917481862E-2</v>
      </c>
      <c r="E4" s="162">
        <f>F4-0.25%</f>
        <v>7.2482464917481865E-2</v>
      </c>
      <c r="F4" s="163">
        <v>7.4982464917481867E-2</v>
      </c>
      <c r="G4" s="162">
        <f>F4+0.25%</f>
        <v>7.7482464917481869E-2</v>
      </c>
      <c r="H4" s="119">
        <f>F4+0.5%</f>
        <v>7.9982464917481871E-2</v>
      </c>
      <c r="I4" s="34"/>
      <c r="K4" t="s">
        <v>267</v>
      </c>
      <c r="L4" s="18">
        <f>DCF!U47</f>
        <v>7.4982464917481867E-2</v>
      </c>
    </row>
    <row r="5" spans="1:12" ht="16.149999999999999" thickTop="1">
      <c r="A5" s="34"/>
      <c r="B5" s="34"/>
      <c r="C5" s="164">
        <f>C7-0.5%</f>
        <v>2.545E-2</v>
      </c>
      <c r="D5" s="118">
        <v>106.26528167893927</v>
      </c>
      <c r="E5" s="118">
        <v>99.782849000714776</v>
      </c>
      <c r="F5" s="118">
        <v>93.993098932434847</v>
      </c>
      <c r="G5" s="118">
        <v>88.795265220210581</v>
      </c>
      <c r="H5" s="165">
        <v>84.107084047532297</v>
      </c>
      <c r="I5" s="34"/>
      <c r="J5" s="34"/>
    </row>
    <row r="6" spans="1:12" ht="15.75">
      <c r="A6" s="34"/>
      <c r="B6" s="34"/>
      <c r="C6" s="166">
        <f>C7-0.25%</f>
        <v>2.7950000000000003E-2</v>
      </c>
      <c r="D6" s="167">
        <v>111.55892174244356</v>
      </c>
      <c r="E6" s="167">
        <v>104.41539424476824</v>
      </c>
      <c r="F6" s="167">
        <v>98.07164943420662</v>
      </c>
      <c r="G6" s="167">
        <v>92.405618539111984</v>
      </c>
      <c r="H6" s="120">
        <v>87.31871829245074</v>
      </c>
      <c r="I6" s="34"/>
      <c r="J6" s="34"/>
    </row>
    <row r="7" spans="1:12" ht="15.75">
      <c r="A7" s="34"/>
      <c r="B7" s="375" t="s">
        <v>347</v>
      </c>
      <c r="C7" s="168">
        <v>3.0450000000000001E-2</v>
      </c>
      <c r="D7" s="167">
        <v>117.5220925415792</v>
      </c>
      <c r="E7" s="167">
        <v>109.59900700926671</v>
      </c>
      <c r="F7" s="167">
        <v>102.60812995504757</v>
      </c>
      <c r="G7" s="167">
        <v>96.399786880810524</v>
      </c>
      <c r="H7" s="120">
        <v>90.854547411404724</v>
      </c>
      <c r="I7" s="34"/>
      <c r="J7" s="34"/>
    </row>
    <row r="8" spans="1:12" ht="15.75">
      <c r="A8" s="34"/>
      <c r="B8" s="34"/>
      <c r="C8" s="166">
        <f>C7+0.25%</f>
        <v>3.295E-2</v>
      </c>
      <c r="D8" s="167">
        <v>124.29039078934981</v>
      </c>
      <c r="E8" s="167">
        <v>115.43823444076335</v>
      </c>
      <c r="F8" s="167">
        <v>107.68425055287982</v>
      </c>
      <c r="G8" s="167">
        <v>100.84241101190891</v>
      </c>
      <c r="H8" s="120">
        <v>94.766268919281714</v>
      </c>
      <c r="I8" s="34"/>
      <c r="J8" s="34"/>
    </row>
    <row r="9" spans="1:12" ht="16.149999999999999" thickBot="1">
      <c r="A9" s="34"/>
      <c r="B9" s="34"/>
      <c r="C9" s="169">
        <f>C7+0.5%</f>
        <v>3.5450000000000002E-2</v>
      </c>
      <c r="D9" s="170">
        <v>132.03867964363289</v>
      </c>
      <c r="E9" s="170">
        <v>122.06585490044593</v>
      </c>
      <c r="F9" s="170">
        <v>113.40239038837251</v>
      </c>
      <c r="G9" s="170">
        <v>105.81351047033112</v>
      </c>
      <c r="H9" s="171">
        <v>99.117189280750708</v>
      </c>
      <c r="I9" s="34"/>
      <c r="J9" s="34"/>
    </row>
    <row r="10" spans="1:12" ht="16.149999999999999" thickTop="1">
      <c r="A10" s="34"/>
      <c r="B10" s="34"/>
      <c r="C10" s="34"/>
      <c r="D10" s="34"/>
      <c r="E10" s="34"/>
      <c r="F10" s="34"/>
      <c r="G10" s="34"/>
      <c r="H10" s="34"/>
      <c r="I10" s="34"/>
      <c r="J10" s="34"/>
    </row>
    <row r="11" spans="1:12" ht="15.75">
      <c r="A11" s="34"/>
      <c r="B11" s="34"/>
      <c r="C11" s="34"/>
      <c r="D11" s="34"/>
      <c r="E11" s="34"/>
      <c r="F11" s="34"/>
      <c r="G11" s="34"/>
      <c r="H11" s="34"/>
      <c r="I11" s="34"/>
      <c r="J11" s="112"/>
    </row>
    <row r="12" spans="1:12" ht="15.75">
      <c r="A12" s="34"/>
      <c r="B12" s="167"/>
      <c r="C12" s="172"/>
      <c r="D12" s="172"/>
      <c r="E12" s="173"/>
      <c r="F12" s="172"/>
      <c r="G12" s="172"/>
      <c r="H12" s="34"/>
      <c r="I12" s="34"/>
      <c r="J12" s="112"/>
    </row>
    <row r="13" spans="1:12" ht="15.75">
      <c r="A13" s="34"/>
      <c r="B13" s="172"/>
      <c r="C13" s="167"/>
      <c r="D13" s="167"/>
      <c r="E13" s="167"/>
      <c r="F13" s="167"/>
      <c r="G13" s="167"/>
      <c r="H13" s="34"/>
      <c r="I13" s="34"/>
      <c r="J13" s="34"/>
    </row>
    <row r="14" spans="1:12" ht="16.149999999999999" thickBot="1">
      <c r="A14" s="34"/>
      <c r="B14" s="34"/>
      <c r="C14" s="35" t="s">
        <v>325</v>
      </c>
      <c r="D14" s="34"/>
      <c r="E14" s="34"/>
      <c r="F14" s="35" t="s">
        <v>323</v>
      </c>
      <c r="G14" s="34"/>
      <c r="H14" s="34"/>
      <c r="I14" s="34"/>
      <c r="J14" s="34"/>
    </row>
    <row r="15" spans="1:12" ht="16.149999999999999" thickBot="1">
      <c r="A15" s="34"/>
      <c r="B15" s="34"/>
      <c r="C15" s="316">
        <f>S6</f>
        <v>0</v>
      </c>
      <c r="D15" s="317">
        <f>E15-0.25%</f>
        <v>6.9982464917481862E-2</v>
      </c>
      <c r="E15" s="317">
        <f>F15-0.25%</f>
        <v>7.2482464917481865E-2</v>
      </c>
      <c r="F15" s="318">
        <v>7.4982464917481867E-2</v>
      </c>
      <c r="G15" s="317">
        <f>F15+0.25%</f>
        <v>7.7482464917481869E-2</v>
      </c>
      <c r="H15" s="319">
        <f>G15+0.25%</f>
        <v>7.9982464917481871E-2</v>
      </c>
      <c r="I15" s="34"/>
    </row>
    <row r="16" spans="1:12" ht="16.149999999999999" thickTop="1">
      <c r="A16" s="34"/>
      <c r="B16" s="34"/>
      <c r="C16" s="320">
        <f>C17-0.25%</f>
        <v>2.5450000000000004E-2</v>
      </c>
      <c r="D16" s="95">
        <v>134887.72111399076</v>
      </c>
      <c r="E16" s="95">
        <v>127497.74786081485</v>
      </c>
      <c r="F16" s="95">
        <v>120897.43278297572</v>
      </c>
      <c r="G16" s="88">
        <v>114971.90235104006</v>
      </c>
      <c r="H16" s="321">
        <v>109627.37581418682</v>
      </c>
      <c r="I16" s="34"/>
    </row>
    <row r="17" spans="1:10" ht="15.75">
      <c r="A17" s="34"/>
      <c r="B17" s="34"/>
      <c r="C17" s="320">
        <f>C18-0.25%</f>
        <v>2.7950000000000003E-2</v>
      </c>
      <c r="D17" s="95">
        <v>140922.47078638565</v>
      </c>
      <c r="E17" s="95">
        <v>132778.84943903578</v>
      </c>
      <c r="F17" s="95">
        <v>125546.98035499555</v>
      </c>
      <c r="G17" s="88">
        <v>119087.70513458767</v>
      </c>
      <c r="H17" s="321">
        <v>113288.63885339384</v>
      </c>
      <c r="I17" s="34"/>
    </row>
    <row r="18" spans="1:10" ht="15.75">
      <c r="A18" s="34"/>
      <c r="B18" s="35" t="s">
        <v>328</v>
      </c>
      <c r="C18" s="322">
        <v>3.0450000000000001E-2</v>
      </c>
      <c r="D18" s="95">
        <v>147720.48549740028</v>
      </c>
      <c r="E18" s="95">
        <v>138688.16799056405</v>
      </c>
      <c r="F18" s="95">
        <v>130718.56814875423</v>
      </c>
      <c r="G18" s="88">
        <v>123641.057044124</v>
      </c>
      <c r="H18" s="321">
        <v>117319.48404900139</v>
      </c>
      <c r="I18" s="34"/>
    </row>
    <row r="19" spans="1:10" ht="15.75">
      <c r="A19" s="34"/>
      <c r="B19" s="34"/>
      <c r="C19" s="320">
        <f>C18+0.25%</f>
        <v>3.295E-2</v>
      </c>
      <c r="D19" s="95">
        <v>155436.34549985878</v>
      </c>
      <c r="E19" s="95">
        <v>145344.88726247021</v>
      </c>
      <c r="F19" s="95">
        <v>136505.34563028297</v>
      </c>
      <c r="G19" s="88">
        <v>128705.64855357616</v>
      </c>
      <c r="H19" s="321">
        <v>121778.84656798115</v>
      </c>
      <c r="I19" s="34"/>
    </row>
    <row r="20" spans="1:10" ht="16.149999999999999" thickBot="1">
      <c r="A20" s="34"/>
      <c r="B20" s="34"/>
      <c r="C20" s="323">
        <f>C19+0.25%</f>
        <v>3.5450000000000002E-2</v>
      </c>
      <c r="D20" s="324">
        <v>164269.39479374149</v>
      </c>
      <c r="E20" s="324">
        <v>152900.37458650835</v>
      </c>
      <c r="F20" s="324">
        <v>143024.02504274464</v>
      </c>
      <c r="G20" s="325">
        <v>134372.70193617747</v>
      </c>
      <c r="H20" s="326">
        <v>126738.89578005581</v>
      </c>
      <c r="I20" s="34"/>
      <c r="J20" s="34"/>
    </row>
    <row r="21" spans="1:10" ht="15.75">
      <c r="A21" s="34"/>
      <c r="B21" s="34"/>
      <c r="C21" s="121"/>
      <c r="D21" s="95"/>
      <c r="E21" s="95"/>
      <c r="F21" s="95"/>
      <c r="G21" s="95"/>
      <c r="H21" s="95"/>
      <c r="I21" s="34"/>
    </row>
  </sheetData>
  <conditionalFormatting sqref="C13:G1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:H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6:H2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1:H2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564E-8D1A-4CE2-BA3E-5432E5663778}">
  <dimension ref="B1:O14"/>
  <sheetViews>
    <sheetView zoomScale="84" workbookViewId="0">
      <selection activeCell="G30" sqref="G30"/>
    </sheetView>
  </sheetViews>
  <sheetFormatPr defaultRowHeight="14.25"/>
  <cols>
    <col min="2" max="2" width="17.86328125" bestFit="1" customWidth="1"/>
    <col min="3" max="3" width="9.73046875" bestFit="1" customWidth="1"/>
  </cols>
  <sheetData>
    <row r="1" spans="2:15" ht="14.65" thickBot="1"/>
    <row r="2" spans="2:15">
      <c r="B2" s="424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6"/>
    </row>
    <row r="3" spans="2:15">
      <c r="B3" s="440" t="s">
        <v>392</v>
      </c>
      <c r="C3" s="438">
        <v>2015</v>
      </c>
      <c r="D3" s="438">
        <f>+C3+1</f>
        <v>2016</v>
      </c>
      <c r="E3" s="438">
        <f t="shared" ref="E3:F3" si="0">+D3+1</f>
        <v>2017</v>
      </c>
      <c r="F3" s="438">
        <f t="shared" si="0"/>
        <v>2018</v>
      </c>
      <c r="G3" s="438">
        <f>+F3+1</f>
        <v>2019</v>
      </c>
      <c r="H3" s="438">
        <f>+G3+1</f>
        <v>2020</v>
      </c>
      <c r="I3" s="438">
        <f>+H3+1</f>
        <v>2021</v>
      </c>
      <c r="J3" s="438">
        <f t="shared" ref="J3:K3" si="1">+I3+1</f>
        <v>2022</v>
      </c>
      <c r="K3" s="438">
        <f t="shared" si="1"/>
        <v>2023</v>
      </c>
      <c r="L3" s="439">
        <f>+K3+1</f>
        <v>2024</v>
      </c>
      <c r="M3" s="427"/>
    </row>
    <row r="4" spans="2:15">
      <c r="B4" s="437" t="s">
        <v>106</v>
      </c>
      <c r="C4" s="428">
        <v>0.35</v>
      </c>
      <c r="D4" s="428">
        <v>0.35</v>
      </c>
      <c r="E4" s="428">
        <v>0.35</v>
      </c>
      <c r="F4" s="18">
        <v>0.245</v>
      </c>
      <c r="G4" s="428">
        <v>0.21</v>
      </c>
      <c r="H4" s="428">
        <v>0.21</v>
      </c>
      <c r="I4" s="428">
        <v>0.21</v>
      </c>
      <c r="J4" s="428">
        <v>0.21</v>
      </c>
      <c r="K4" s="428">
        <v>0.21</v>
      </c>
      <c r="L4" s="428">
        <v>0.21</v>
      </c>
      <c r="M4" s="427"/>
    </row>
    <row r="5" spans="2:15">
      <c r="B5" s="437"/>
      <c r="M5" s="427"/>
    </row>
    <row r="6" spans="2:15">
      <c r="B6" s="437" t="s">
        <v>211</v>
      </c>
      <c r="C6">
        <f>'Income Statement'!B39*'Adjusted Tax Rate '!C4</f>
        <v>24.674999999999997</v>
      </c>
      <c r="D6">
        <f>'Income Statement'!C39*'Adjusted Tax Rate '!D4</f>
        <v>28.454999999999998</v>
      </c>
      <c r="E6">
        <f>'Income Statement'!D39*'Adjusted Tax Rate '!E4</f>
        <v>32.375</v>
      </c>
      <c r="F6">
        <f>'Income Statement'!E39*'Adjusted Tax Rate '!F4</f>
        <v>41.723500000000001</v>
      </c>
      <c r="G6">
        <f>'Income Statement'!F39*'Adjusted Tax Rate '!G4</f>
        <v>69.509999999999991</v>
      </c>
      <c r="H6">
        <f>'Income Statement'!G39*'Adjusted Tax Rate '!H4</f>
        <v>91.77</v>
      </c>
      <c r="I6">
        <f>'Income Statement'!H39*'Adjusted Tax Rate '!I4</f>
        <v>98.658000000000001</v>
      </c>
      <c r="J6">
        <f>'Income Statement'!I39*'Adjusted Tax Rate '!J4</f>
        <v>101.40899999999999</v>
      </c>
      <c r="K6">
        <f>'Income Statement'!J39*'Adjusted Tax Rate '!K4</f>
        <v>115.521</v>
      </c>
      <c r="L6">
        <f>'Income Statement'!K39*'Adjusted Tax Rate '!L4</f>
        <v>118.02</v>
      </c>
      <c r="M6" s="427"/>
    </row>
    <row r="7" spans="2:15" ht="18" customHeight="1">
      <c r="B7" s="429" t="s">
        <v>105</v>
      </c>
      <c r="C7" s="430">
        <f>C9/DCF!B22</f>
        <v>0.31961237553342814</v>
      </c>
      <c r="D7" s="430">
        <f>D9/DCF!C22</f>
        <v>0.33753325822766594</v>
      </c>
      <c r="E7" s="430">
        <f>E9/DCF!D22</f>
        <v>0.33668298400441271</v>
      </c>
      <c r="F7" s="430">
        <f>F9/DCF!E22</f>
        <v>0.29003859844271423</v>
      </c>
      <c r="G7" s="430">
        <f>G9/DCF!F22</f>
        <v>0.20590963789519753</v>
      </c>
      <c r="H7" s="430">
        <f>H9/DCF!G22</f>
        <v>0.15538627414213399</v>
      </c>
      <c r="I7" s="430">
        <f>I9/DCF!H22</f>
        <v>0.24056766131968807</v>
      </c>
      <c r="J7" s="430">
        <f>J9/DCF!I22</f>
        <v>0.21625314109165814</v>
      </c>
      <c r="K7" s="430">
        <f>K9/DCF!J22</f>
        <v>0.2400663632916194</v>
      </c>
      <c r="L7" s="430">
        <f>L9/DCF!K22</f>
        <v>0.23964703542303312</v>
      </c>
      <c r="M7" s="427"/>
    </row>
    <row r="8" spans="2:15">
      <c r="B8" s="437"/>
      <c r="M8" s="427"/>
    </row>
    <row r="9" spans="2:15">
      <c r="B9" s="437" t="s">
        <v>210</v>
      </c>
      <c r="C9" s="431">
        <f>'Income Statement'!B67+'Adjusted Tax Rate '!C6</f>
        <v>1168.375</v>
      </c>
      <c r="D9" s="431">
        <f>'Income Statement'!C67+'Adjusted Tax Rate '!D6</f>
        <v>1408.155</v>
      </c>
      <c r="E9" s="431">
        <f>'Income Statement'!D67+'Adjusted Tax Rate '!E6</f>
        <v>1464.9749999999999</v>
      </c>
      <c r="F9" s="431">
        <f>'Income Statement'!E67+'Adjusted Tax Rate '!F6</f>
        <v>1303.7235000000001</v>
      </c>
      <c r="G9" s="431">
        <f>'Income Statement'!F67+'Adjusted Tax Rate '!G6</f>
        <v>941.11</v>
      </c>
      <c r="H9" s="431">
        <f>'Income Statement'!G67+'Adjusted Tax Rate '!H6</f>
        <v>331.46999999999997</v>
      </c>
      <c r="I9" s="431">
        <f>'Income Statement'!H67+'Adjusted Tax Rate '!I6</f>
        <v>1255.2579999999998</v>
      </c>
      <c r="J9" s="431">
        <f>'Income Statement'!I67+'Adjusted Tax Rate '!J6</f>
        <v>1049.9090000000001</v>
      </c>
      <c r="K9" s="431">
        <f>'Income Statement'!J67+'Adjusted Tax Rate '!K6</f>
        <v>1392.721</v>
      </c>
      <c r="L9" s="431">
        <f>'Income Statement'!K67+'Adjusted Tax Rate '!L6</f>
        <v>1325.32</v>
      </c>
      <c r="M9" s="427"/>
    </row>
    <row r="10" spans="2:15" ht="15.75">
      <c r="B10" s="432" t="s">
        <v>212</v>
      </c>
      <c r="C10" s="433"/>
      <c r="D10" s="433"/>
      <c r="E10" s="433"/>
      <c r="F10" s="433"/>
      <c r="G10" s="433"/>
      <c r="H10" s="433"/>
      <c r="I10" s="433"/>
      <c r="M10" s="427"/>
    </row>
    <row r="11" spans="2:15" ht="15.75">
      <c r="B11" s="432" t="s">
        <v>213</v>
      </c>
      <c r="C11" s="433"/>
      <c r="D11" s="433"/>
      <c r="E11" s="433"/>
      <c r="F11" s="433"/>
      <c r="G11" s="433"/>
      <c r="H11" s="433"/>
      <c r="I11" s="433"/>
      <c r="K11" s="49"/>
      <c r="M11" s="427"/>
    </row>
    <row r="12" spans="2:15" ht="16.149999999999999" thickBot="1">
      <c r="B12" s="563" t="s">
        <v>214</v>
      </c>
      <c r="C12" s="564"/>
      <c r="D12" s="564"/>
      <c r="E12" s="564"/>
      <c r="F12" s="564"/>
      <c r="G12" s="564"/>
      <c r="H12" s="434"/>
      <c r="I12" s="434"/>
      <c r="J12" s="435"/>
      <c r="K12" s="435"/>
      <c r="L12" s="435"/>
      <c r="M12" s="436"/>
    </row>
    <row r="13" spans="2:15">
      <c r="K13" s="49"/>
    </row>
    <row r="14" spans="2:15" ht="14.25" customHeight="1">
      <c r="I14" s="22" t="s">
        <v>215</v>
      </c>
      <c r="O14" s="22"/>
    </row>
  </sheetData>
  <mergeCells count="1">
    <mergeCell ref="B12:G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541C-8AAF-4C2C-9BE0-44EE8CAC5E20}">
  <dimension ref="A1:AM74"/>
  <sheetViews>
    <sheetView tabSelected="1" topLeftCell="A15" zoomScale="60" zoomScaleNormal="31" workbookViewId="0">
      <selection activeCell="U51" sqref="U51"/>
    </sheetView>
  </sheetViews>
  <sheetFormatPr defaultRowHeight="15.75"/>
  <cols>
    <col min="1" max="1" width="30.6640625" style="34" bestFit="1" customWidth="1"/>
    <col min="2" max="2" width="11.1328125" style="34" bestFit="1" customWidth="1"/>
    <col min="3" max="3" width="9.86328125" style="34" bestFit="1" customWidth="1"/>
    <col min="4" max="4" width="13.265625" style="34" bestFit="1" customWidth="1"/>
    <col min="5" max="5" width="16" style="34" bestFit="1" customWidth="1"/>
    <col min="6" max="11" width="10.265625" style="34" bestFit="1" customWidth="1"/>
    <col min="12" max="12" width="10.796875" style="34" bestFit="1" customWidth="1"/>
    <col min="13" max="13" width="12.06640625" style="34" bestFit="1" customWidth="1"/>
    <col min="14" max="17" width="13.265625" style="34" customWidth="1"/>
    <col min="18" max="18" width="12.06640625" style="34" customWidth="1"/>
    <col min="19" max="19" width="13.265625" style="34" customWidth="1"/>
    <col min="20" max="20" width="16.1328125" style="34" customWidth="1"/>
    <col min="21" max="25" width="14.796875" style="34" customWidth="1"/>
    <col min="26" max="26" width="9.265625" style="34" bestFit="1" customWidth="1"/>
    <col min="27" max="27" width="22" style="34" bestFit="1" customWidth="1"/>
    <col min="28" max="29" width="9.06640625" style="34"/>
    <col min="30" max="30" width="34.06640625" style="34" bestFit="1" customWidth="1"/>
    <col min="31" max="31" width="9.06640625" style="34"/>
    <col min="32" max="32" width="19.59765625" style="34" customWidth="1"/>
    <col min="33" max="33" width="17.3984375" style="34" bestFit="1" customWidth="1"/>
    <col min="34" max="34" width="23.33203125" style="34" bestFit="1" customWidth="1"/>
    <col min="35" max="35" width="15.53125" style="34" customWidth="1"/>
    <col min="36" max="16384" width="9.06640625" style="34"/>
  </cols>
  <sheetData>
    <row r="1" spans="1:23" ht="23.25">
      <c r="A1" s="65"/>
      <c r="B1" s="65"/>
      <c r="C1" s="66"/>
      <c r="D1" s="67"/>
      <c r="E1" s="567" t="s">
        <v>370</v>
      </c>
      <c r="F1" s="567"/>
      <c r="G1" s="567"/>
      <c r="H1" s="567"/>
      <c r="I1" s="567"/>
      <c r="J1" s="567"/>
      <c r="K1" s="67"/>
      <c r="L1" s="67"/>
      <c r="M1" s="67"/>
      <c r="N1" s="67"/>
      <c r="O1" s="67"/>
      <c r="P1" s="67"/>
      <c r="Q1" s="67"/>
      <c r="R1" s="67"/>
    </row>
    <row r="2" spans="1:23" ht="16.149999999999999" thickBot="1"/>
    <row r="3" spans="1:23" s="35" customFormat="1">
      <c r="A3" s="269" t="s">
        <v>0</v>
      </c>
      <c r="B3" s="270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4"/>
      <c r="T3" s="64"/>
      <c r="U3" s="64"/>
    </row>
    <row r="4" spans="1:23">
      <c r="A4" s="271" t="s">
        <v>1</v>
      </c>
      <c r="B4" s="239" t="s">
        <v>291</v>
      </c>
    </row>
    <row r="5" spans="1:23">
      <c r="A5" s="271" t="s">
        <v>2</v>
      </c>
      <c r="B5" s="272">
        <v>45868</v>
      </c>
    </row>
    <row r="6" spans="1:23">
      <c r="A6" s="271" t="s">
        <v>3</v>
      </c>
      <c r="B6" s="273">
        <v>91.63</v>
      </c>
      <c r="D6" s="352"/>
      <c r="F6" s="121"/>
    </row>
    <row r="7" spans="1:23">
      <c r="A7" s="271" t="s">
        <v>4</v>
      </c>
      <c r="B7" s="274">
        <f>U56</f>
        <v>102.60812995504757</v>
      </c>
    </row>
    <row r="8" spans="1:23" ht="16.149999999999999" thickBot="1">
      <c r="A8" s="275" t="s">
        <v>5</v>
      </c>
      <c r="B8" s="276">
        <f>B7/B6-1</f>
        <v>0.11980934142799926</v>
      </c>
      <c r="J8" s="349"/>
    </row>
    <row r="9" spans="1:23" ht="6" customHeight="1" thickBot="1">
      <c r="C9" s="122"/>
      <c r="D9" s="122"/>
      <c r="E9" s="122"/>
      <c r="F9" s="122"/>
      <c r="G9" s="122"/>
      <c r="H9" s="122"/>
      <c r="I9" s="122"/>
      <c r="J9" s="122"/>
      <c r="K9" s="122"/>
      <c r="L9" s="122"/>
    </row>
    <row r="10" spans="1:23" s="35" customFormat="1">
      <c r="A10" s="488"/>
      <c r="B10" s="489">
        <v>2015</v>
      </c>
      <c r="C10" s="489">
        <f>+B10+1</f>
        <v>2016</v>
      </c>
      <c r="D10" s="489">
        <f t="shared" ref="D10" si="0">+C10+1</f>
        <v>2017</v>
      </c>
      <c r="E10" s="489">
        <f t="shared" ref="E10" si="1">+D10+1</f>
        <v>2018</v>
      </c>
      <c r="F10" s="489">
        <f>+E10+1</f>
        <v>2019</v>
      </c>
      <c r="G10" s="489">
        <f>+F10+1</f>
        <v>2020</v>
      </c>
      <c r="H10" s="489">
        <f>+G10+1</f>
        <v>2021</v>
      </c>
      <c r="I10" s="489">
        <f t="shared" ref="I10" si="2">+H10+1</f>
        <v>2022</v>
      </c>
      <c r="J10" s="489">
        <f t="shared" ref="J10" si="3">+I10+1</f>
        <v>2023</v>
      </c>
      <c r="K10" s="489">
        <f>+J10+1</f>
        <v>2024</v>
      </c>
      <c r="L10" s="490">
        <f>+K10+1</f>
        <v>2025</v>
      </c>
      <c r="M10" s="490">
        <f t="shared" ref="M10:P10" si="4">+L10+1</f>
        <v>2026</v>
      </c>
      <c r="N10" s="490">
        <f t="shared" si="4"/>
        <v>2027</v>
      </c>
      <c r="O10" s="490">
        <f t="shared" si="4"/>
        <v>2028</v>
      </c>
      <c r="P10" s="490">
        <f t="shared" si="4"/>
        <v>2029</v>
      </c>
      <c r="Q10" s="490">
        <f t="shared" ref="Q10" si="5">+P10+1</f>
        <v>2030</v>
      </c>
      <c r="R10" s="490">
        <f t="shared" ref="R10" si="6">+Q10+1</f>
        <v>2031</v>
      </c>
      <c r="S10" s="490">
        <f t="shared" ref="S10" si="7">+R10+1</f>
        <v>2032</v>
      </c>
      <c r="T10" s="490">
        <f t="shared" ref="T10" si="8">+S10+1</f>
        <v>2033</v>
      </c>
      <c r="U10" s="491">
        <f t="shared" ref="U10" si="9">+T10+1</f>
        <v>2034</v>
      </c>
      <c r="V10" s="492" t="s">
        <v>342</v>
      </c>
      <c r="W10" s="492" t="s">
        <v>343</v>
      </c>
    </row>
    <row r="11" spans="1:23">
      <c r="A11" s="475"/>
      <c r="U11" s="239"/>
    </row>
    <row r="12" spans="1:23" s="35" customFormat="1">
      <c r="A12" s="476" t="s">
        <v>288</v>
      </c>
      <c r="B12" s="240">
        <f>'Income Statement'!B6</f>
        <v>19162.7</v>
      </c>
      <c r="C12" s="240">
        <f>'Income Statement'!C6</f>
        <v>21315.9</v>
      </c>
      <c r="D12" s="240">
        <f>'Income Statement'!D6</f>
        <v>22386.799999999999</v>
      </c>
      <c r="E12" s="240">
        <f>'Income Statement'!E6</f>
        <v>24719.5</v>
      </c>
      <c r="F12" s="240">
        <f>'Income Statement'!F6</f>
        <v>26508.6</v>
      </c>
      <c r="G12" s="240">
        <f>'Income Statement'!G6</f>
        <v>23518</v>
      </c>
      <c r="H12" s="240">
        <f>'Income Statement'!H6</f>
        <v>29060.6</v>
      </c>
      <c r="I12" s="240">
        <f>'Income Statement'!I6</f>
        <v>32250.3</v>
      </c>
      <c r="J12" s="240">
        <f>'Income Statement'!J6</f>
        <v>35975.599999999999</v>
      </c>
      <c r="K12" s="240">
        <f>'Income Statement'!K6</f>
        <v>36176.199999999997</v>
      </c>
      <c r="L12" s="241">
        <f>'growth calculation'!I10</f>
        <v>37248.588000000003</v>
      </c>
      <c r="M12" s="241">
        <f>'growth calculation'!J10</f>
        <v>38415.424995000001</v>
      </c>
      <c r="N12" s="241">
        <f>'growth calculation'!K10</f>
        <v>39639.760289775004</v>
      </c>
      <c r="O12" s="241">
        <f>'growth calculation'!L10</f>
        <v>40904.632334587128</v>
      </c>
      <c r="P12" s="241">
        <f>'growth calculation'!M10</f>
        <v>42211.430297933752</v>
      </c>
      <c r="Q12" s="241">
        <f>'growth calculation'!N10</f>
        <v>43674.010547371981</v>
      </c>
      <c r="R12" s="241">
        <f>'growth calculation'!O10</f>
        <v>45192.405204358904</v>
      </c>
      <c r="S12" s="241">
        <f>'growth calculation'!P10</f>
        <v>46768.962395319679</v>
      </c>
      <c r="T12" s="241">
        <f>'growth calculation'!Q10</f>
        <v>48406.138001041028</v>
      </c>
      <c r="U12" s="242">
        <f>'growth calculation'!R10</f>
        <v>50106.500945244275</v>
      </c>
      <c r="V12" s="138">
        <f>(K12/B12)^(1/9)-1</f>
        <v>7.3156143591797118E-2</v>
      </c>
      <c r="W12" s="174">
        <f>(U12/L12)^(1/9)-1</f>
        <v>3.3497338136317723E-2</v>
      </c>
    </row>
    <row r="13" spans="1:23" s="46" customFormat="1">
      <c r="A13" s="477" t="s">
        <v>209</v>
      </c>
      <c r="C13" s="57">
        <f>C12/B12-1</f>
        <v>0.11236412405349983</v>
      </c>
      <c r="D13" s="57">
        <f t="shared" ref="D13:E13" si="10">D12/C12-1</f>
        <v>5.0239492585346879E-2</v>
      </c>
      <c r="E13" s="57">
        <f t="shared" si="10"/>
        <v>0.10419979630853904</v>
      </c>
      <c r="F13" s="57">
        <f>F12/E12-1</f>
        <v>7.2376059386314306E-2</v>
      </c>
      <c r="G13" s="57">
        <f t="shared" ref="G13:K13" si="11">G12/F12-1</f>
        <v>-0.11281621813298326</v>
      </c>
      <c r="H13" s="57">
        <f t="shared" si="11"/>
        <v>0.23567480227910531</v>
      </c>
      <c r="I13" s="57">
        <f t="shared" si="11"/>
        <v>0.10976029400631782</v>
      </c>
      <c r="J13" s="57">
        <f t="shared" si="11"/>
        <v>0.11551210376337573</v>
      </c>
      <c r="K13" s="57">
        <f t="shared" si="11"/>
        <v>5.5760015121359974E-3</v>
      </c>
      <c r="L13" s="193">
        <f t="shared" ref="L13" si="12">L12/K12-1</f>
        <v>2.9643467251950328E-2</v>
      </c>
      <c r="M13" s="193">
        <f t="shared" ref="M13" si="13">M12/L12-1</f>
        <v>3.1325670519376514E-2</v>
      </c>
      <c r="N13" s="193">
        <f t="shared" ref="N13" si="14">N12/M12-1</f>
        <v>3.1870929319000263E-2</v>
      </c>
      <c r="O13" s="193">
        <f t="shared" ref="O13" si="15">O12/N12-1</f>
        <v>3.1909174918456795E-2</v>
      </c>
      <c r="P13" s="193">
        <f t="shared" ref="P13" si="16">P12/O12-1</f>
        <v>3.1947432081956606E-2</v>
      </c>
      <c r="Q13" s="193">
        <f t="shared" ref="Q13" si="17">Q12/P12-1</f>
        <v>3.4648914739802583E-2</v>
      </c>
      <c r="R13" s="193">
        <f t="shared" ref="R13" si="18">R12/Q12-1</f>
        <v>3.4766549670082636E-2</v>
      </c>
      <c r="S13" s="193">
        <f t="shared" ref="S13" si="19">S12/R12-1</f>
        <v>3.4885445548463734E-2</v>
      </c>
      <c r="T13" s="193">
        <f t="shared" ref="T13" si="20">T12/S12-1</f>
        <v>3.500560033560185E-2</v>
      </c>
      <c r="U13" s="243">
        <f t="shared" ref="U13" si="21">U12/T12-1</f>
        <v>3.5127011044894241E-2</v>
      </c>
      <c r="V13" s="138"/>
      <c r="W13" s="174"/>
    </row>
    <row r="14" spans="1:23">
      <c r="A14" s="478" t="s">
        <v>286</v>
      </c>
      <c r="B14" s="244">
        <f>'Income Statement'!B14</f>
        <v>13198.6</v>
      </c>
      <c r="C14" s="244">
        <f>'Income Statement'!C14</f>
        <v>14573.3</v>
      </c>
      <c r="D14" s="244">
        <f>'Income Statement'!D14</f>
        <v>15552.2</v>
      </c>
      <c r="E14" s="244">
        <f>'Income Statement'!E14</f>
        <v>17402.900000000001</v>
      </c>
      <c r="F14" s="244">
        <f>'Income Statement'!F14</f>
        <v>19020.5</v>
      </c>
      <c r="G14" s="244">
        <f>'Income Statement'!G14</f>
        <v>18458.900000000001</v>
      </c>
      <c r="H14" s="244">
        <f>'Income Statement'!H14</f>
        <v>20652</v>
      </c>
      <c r="I14" s="244">
        <f>'Income Statement'!I14</f>
        <v>23879.200000000001</v>
      </c>
      <c r="J14" s="244">
        <f>'Income Statement'!J14</f>
        <v>26129.4</v>
      </c>
      <c r="K14" s="244">
        <f>'Income Statement'!K14</f>
        <v>26467.1</v>
      </c>
      <c r="L14" s="192">
        <f>L12*L15</f>
        <v>26818.983360000002</v>
      </c>
      <c r="M14" s="192">
        <f t="shared" ref="M14:P14" si="22">M12*M15</f>
        <v>27274.951746449999</v>
      </c>
      <c r="N14" s="192">
        <f t="shared" si="22"/>
        <v>28144.229805740251</v>
      </c>
      <c r="O14" s="192">
        <f t="shared" si="22"/>
        <v>29042.288957556859</v>
      </c>
      <c r="P14" s="192">
        <f t="shared" si="22"/>
        <v>29970.115511532964</v>
      </c>
      <c r="Q14" s="192">
        <f t="shared" ref="Q14" si="23">Q12*Q15</f>
        <v>30135.067277686663</v>
      </c>
      <c r="R14" s="192">
        <f t="shared" ref="R14" si="24">R12*R15</f>
        <v>31182.759591007642</v>
      </c>
      <c r="S14" s="192">
        <f t="shared" ref="S14" si="25">S12*S15</f>
        <v>32270.584052770577</v>
      </c>
      <c r="T14" s="192">
        <f t="shared" ref="T14" si="26">T12*T15</f>
        <v>32916.173840707903</v>
      </c>
      <c r="U14" s="245">
        <f t="shared" ref="U14" si="27">U12*U15</f>
        <v>34072.420642766112</v>
      </c>
      <c r="V14" s="200"/>
      <c r="W14" s="174"/>
    </row>
    <row r="15" spans="1:23" s="46" customFormat="1">
      <c r="A15" s="479" t="s">
        <v>386</v>
      </c>
      <c r="B15" s="57">
        <f>(B14/B12)</f>
        <v>0.68876515313604036</v>
      </c>
      <c r="C15" s="57">
        <f t="shared" ref="C15:K15" si="28">(C14/C12)</f>
        <v>0.68368213399387301</v>
      </c>
      <c r="D15" s="57">
        <f t="shared" si="28"/>
        <v>0.69470402201297199</v>
      </c>
      <c r="E15" s="57">
        <f t="shared" si="28"/>
        <v>0.70401504884807542</v>
      </c>
      <c r="F15" s="57">
        <f t="shared" si="28"/>
        <v>0.7175218608300703</v>
      </c>
      <c r="G15" s="57">
        <f t="shared" si="28"/>
        <v>0.78488391870056984</v>
      </c>
      <c r="H15" s="57">
        <f t="shared" si="28"/>
        <v>0.71065291150217136</v>
      </c>
      <c r="I15" s="57">
        <f t="shared" si="28"/>
        <v>0.74043342232475362</v>
      </c>
      <c r="J15" s="57">
        <f t="shared" si="28"/>
        <v>0.72630894272784896</v>
      </c>
      <c r="K15" s="57">
        <f t="shared" si="28"/>
        <v>0.73161636656144091</v>
      </c>
      <c r="L15" s="193">
        <v>0.72</v>
      </c>
      <c r="M15" s="193">
        <v>0.71</v>
      </c>
      <c r="N15" s="193">
        <v>0.71</v>
      </c>
      <c r="O15" s="193">
        <v>0.71</v>
      </c>
      <c r="P15" s="193">
        <v>0.71</v>
      </c>
      <c r="Q15" s="193">
        <v>0.69</v>
      </c>
      <c r="R15" s="193">
        <v>0.69</v>
      </c>
      <c r="S15" s="193">
        <v>0.69</v>
      </c>
      <c r="T15" s="193">
        <v>0.68</v>
      </c>
      <c r="U15" s="243">
        <v>0.68</v>
      </c>
      <c r="V15" s="138"/>
      <c r="W15" s="174"/>
    </row>
    <row r="16" spans="1:23" s="39" customFormat="1">
      <c r="A16" s="480" t="s">
        <v>114</v>
      </c>
      <c r="B16" s="54">
        <f>B12-B14</f>
        <v>5964.1</v>
      </c>
      <c r="C16" s="54">
        <f t="shared" ref="C16:U16" si="29">C12-C14</f>
        <v>6742.6000000000022</v>
      </c>
      <c r="D16" s="54">
        <f t="shared" si="29"/>
        <v>6834.5999999999985</v>
      </c>
      <c r="E16" s="54">
        <f t="shared" si="29"/>
        <v>7316.5999999999985</v>
      </c>
      <c r="F16" s="54">
        <f t="shared" si="29"/>
        <v>7488.0999999999985</v>
      </c>
      <c r="G16" s="54">
        <f t="shared" si="29"/>
        <v>5059.0999999999985</v>
      </c>
      <c r="H16" s="54">
        <f t="shared" si="29"/>
        <v>8408.5999999999985</v>
      </c>
      <c r="I16" s="54">
        <f t="shared" si="29"/>
        <v>8371.0999999999985</v>
      </c>
      <c r="J16" s="54">
        <f t="shared" si="29"/>
        <v>9846.1999999999971</v>
      </c>
      <c r="K16" s="54">
        <f t="shared" si="29"/>
        <v>9709.0999999999985</v>
      </c>
      <c r="L16" s="198">
        <f t="shared" si="29"/>
        <v>10429.604640000001</v>
      </c>
      <c r="M16" s="198">
        <f t="shared" si="29"/>
        <v>11140.473248550003</v>
      </c>
      <c r="N16" s="198">
        <f t="shared" si="29"/>
        <v>11495.530484034753</v>
      </c>
      <c r="O16" s="198">
        <f t="shared" si="29"/>
        <v>11862.343377030269</v>
      </c>
      <c r="P16" s="198">
        <f t="shared" si="29"/>
        <v>12241.314786400788</v>
      </c>
      <c r="Q16" s="198">
        <f t="shared" si="29"/>
        <v>13538.943269685318</v>
      </c>
      <c r="R16" s="198">
        <f t="shared" si="29"/>
        <v>14009.645613351262</v>
      </c>
      <c r="S16" s="198">
        <f t="shared" si="29"/>
        <v>14498.378342549102</v>
      </c>
      <c r="T16" s="198">
        <f t="shared" si="29"/>
        <v>15489.964160333126</v>
      </c>
      <c r="U16" s="246">
        <f t="shared" si="29"/>
        <v>16034.080302478164</v>
      </c>
      <c r="V16" s="138">
        <f>(K16/B16)^(1/9)-1</f>
        <v>5.5637708488453841E-2</v>
      </c>
      <c r="W16" s="138">
        <f>(U16/L16)^(1/9)-1</f>
        <v>4.8945470771178057E-2</v>
      </c>
    </row>
    <row r="17" spans="1:39" s="41" customFormat="1">
      <c r="A17" s="479" t="s">
        <v>386</v>
      </c>
      <c r="B17" s="57">
        <f>(B16/B12)</f>
        <v>0.31123484686395969</v>
      </c>
      <c r="C17" s="57">
        <f t="shared" ref="C17:K17" si="30">(C16/C12)</f>
        <v>0.31631786600612694</v>
      </c>
      <c r="D17" s="57">
        <f t="shared" si="30"/>
        <v>0.30529597798702801</v>
      </c>
      <c r="E17" s="57">
        <f t="shared" si="30"/>
        <v>0.29598495115192452</v>
      </c>
      <c r="F17" s="57">
        <f t="shared" si="30"/>
        <v>0.2824781391699297</v>
      </c>
      <c r="G17" s="57">
        <f t="shared" si="30"/>
        <v>0.21511608129943016</v>
      </c>
      <c r="H17" s="57">
        <f t="shared" si="30"/>
        <v>0.28934708849782864</v>
      </c>
      <c r="I17" s="57">
        <f t="shared" si="30"/>
        <v>0.25956657767524638</v>
      </c>
      <c r="J17" s="57">
        <f t="shared" si="30"/>
        <v>0.27369105727215104</v>
      </c>
      <c r="K17" s="57">
        <f t="shared" si="30"/>
        <v>0.26838363343855903</v>
      </c>
      <c r="L17" s="194">
        <f>(L16/L12)</f>
        <v>0.28000000000000003</v>
      </c>
      <c r="M17" s="194">
        <f t="shared" ref="M17" si="31">(M16/M12)</f>
        <v>0.29000000000000004</v>
      </c>
      <c r="N17" s="194">
        <f t="shared" ref="N17" si="32">(N16/N12)</f>
        <v>0.29000000000000004</v>
      </c>
      <c r="O17" s="194">
        <f t="shared" ref="O17" si="33">(O16/O12)</f>
        <v>0.29000000000000004</v>
      </c>
      <c r="P17" s="194">
        <f t="shared" ref="P17" si="34">(P16/P12)</f>
        <v>0.28999999999999998</v>
      </c>
      <c r="Q17" s="194">
        <f t="shared" ref="Q17" si="35">(Q16/Q12)</f>
        <v>0.31000000000000011</v>
      </c>
      <c r="R17" s="194">
        <f t="shared" ref="R17" si="36">(R16/R12)</f>
        <v>0.31000000000000005</v>
      </c>
      <c r="S17" s="194">
        <f t="shared" ref="S17" si="37">(S16/S12)</f>
        <v>0.31000000000000005</v>
      </c>
      <c r="T17" s="194">
        <f t="shared" ref="T17" si="38">(T16/T12)</f>
        <v>0.31999999999999995</v>
      </c>
      <c r="U17" s="247">
        <f t="shared" ref="U17" si="39">(U16/U12)</f>
        <v>0.3199999999999999</v>
      </c>
      <c r="V17" s="138"/>
      <c r="W17" s="174"/>
    </row>
    <row r="18" spans="1:39" s="38" customFormat="1">
      <c r="A18" s="481" t="s">
        <v>327</v>
      </c>
      <c r="B18" s="58">
        <f>'Income Statement'!B18</f>
        <v>0</v>
      </c>
      <c r="C18" s="58">
        <f>'Income Statement'!C18</f>
        <v>318.2</v>
      </c>
      <c r="D18" s="58">
        <f>'Income Statement'!D18</f>
        <v>391.4</v>
      </c>
      <c r="E18" s="58">
        <f>'Income Statement'!E18</f>
        <v>301.2</v>
      </c>
      <c r="F18" s="58">
        <f>'Income Statement'!F18</f>
        <v>298</v>
      </c>
      <c r="G18" s="58">
        <f>'Income Statement'!G18</f>
        <v>322.5</v>
      </c>
      <c r="H18" s="58">
        <f>'Income Statement'!H18</f>
        <v>385.3</v>
      </c>
      <c r="I18" s="58">
        <f>'Income Statement'!I18</f>
        <v>234.1</v>
      </c>
      <c r="J18" s="58">
        <f>'Income Statement'!J18</f>
        <v>298.39999999999998</v>
      </c>
      <c r="K18" s="58">
        <f>'Income Statement'!K18</f>
        <v>301.2</v>
      </c>
      <c r="L18" s="192">
        <f>L12*L19</f>
        <v>372.48588000000007</v>
      </c>
      <c r="M18" s="192">
        <f>M12*M19</f>
        <v>384.15424995000001</v>
      </c>
      <c r="N18" s="192">
        <f>N12*N19</f>
        <v>396.39760289775006</v>
      </c>
      <c r="O18" s="192">
        <f>O12*O19</f>
        <v>409.04632334587131</v>
      </c>
      <c r="P18" s="192">
        <f>P12*P19</f>
        <v>422.11430297933754</v>
      </c>
      <c r="Q18" s="192">
        <f t="shared" ref="Q18:U18" si="40">Q12*Q19</f>
        <v>436.74010547371984</v>
      </c>
      <c r="R18" s="192">
        <f t="shared" si="40"/>
        <v>451.92405204358903</v>
      </c>
      <c r="S18" s="192">
        <f t="shared" si="40"/>
        <v>467.68962395319681</v>
      </c>
      <c r="T18" s="192">
        <f t="shared" si="40"/>
        <v>484.06138001041029</v>
      </c>
      <c r="U18" s="245">
        <f t="shared" si="40"/>
        <v>501.06500945244278</v>
      </c>
      <c r="V18" s="138"/>
      <c r="W18" s="174"/>
    </row>
    <row r="19" spans="1:39" s="41" customFormat="1">
      <c r="A19" s="479" t="s">
        <v>386</v>
      </c>
      <c r="B19" s="59">
        <f t="shared" ref="B19:K19" si="41">(B18/B12)</f>
        <v>0</v>
      </c>
      <c r="C19" s="59">
        <f t="shared" si="41"/>
        <v>1.4927823831036923E-2</v>
      </c>
      <c r="D19" s="59">
        <f t="shared" si="41"/>
        <v>1.7483517072560614E-2</v>
      </c>
      <c r="E19" s="59">
        <f t="shared" si="41"/>
        <v>1.2184712473957806E-2</v>
      </c>
      <c r="F19" s="59">
        <f t="shared" si="41"/>
        <v>1.1241634790219024E-2</v>
      </c>
      <c r="G19" s="59">
        <f t="shared" si="41"/>
        <v>1.3712900756867081E-2</v>
      </c>
      <c r="H19" s="59">
        <f t="shared" si="41"/>
        <v>1.325850120093873E-2</v>
      </c>
      <c r="I19" s="59">
        <f t="shared" si="41"/>
        <v>7.2588472045221281E-3</v>
      </c>
      <c r="J19" s="59">
        <f t="shared" si="41"/>
        <v>8.2945107239351112E-3</v>
      </c>
      <c r="K19" s="59">
        <f t="shared" si="41"/>
        <v>8.3259159336801555E-3</v>
      </c>
      <c r="L19" s="193">
        <v>0.01</v>
      </c>
      <c r="M19" s="193">
        <v>0.01</v>
      </c>
      <c r="N19" s="193">
        <v>0.01</v>
      </c>
      <c r="O19" s="193">
        <v>0.01</v>
      </c>
      <c r="P19" s="193">
        <v>0.01</v>
      </c>
      <c r="Q19" s="193">
        <v>0.01</v>
      </c>
      <c r="R19" s="193">
        <v>0.01</v>
      </c>
      <c r="S19" s="193">
        <v>0.01</v>
      </c>
      <c r="T19" s="193">
        <v>0.01</v>
      </c>
      <c r="U19" s="243">
        <v>0.01</v>
      </c>
      <c r="V19" s="138"/>
      <c r="W19" s="174"/>
    </row>
    <row r="20" spans="1:39" s="38" customFormat="1">
      <c r="A20" s="482" t="s">
        <v>287</v>
      </c>
      <c r="B20" s="60">
        <f>'Income Statement'!B20</f>
        <v>2308.5</v>
      </c>
      <c r="C20" s="60">
        <f>'Income Statement'!C20</f>
        <v>2888.9</v>
      </c>
      <c r="D20" s="60">
        <f>'Income Statement'!D20</f>
        <v>2874.8</v>
      </c>
      <c r="E20" s="60">
        <f>'Income Statement'!E20</f>
        <v>3122.8</v>
      </c>
      <c r="F20" s="60">
        <f>'Income Statement'!F20</f>
        <v>3215.6</v>
      </c>
      <c r="G20" s="60">
        <f>'Income Statement'!G20</f>
        <v>3248.4</v>
      </c>
      <c r="H20" s="60">
        <f>'Income Statement'!H20</f>
        <v>3576</v>
      </c>
      <c r="I20" s="60">
        <f>'Income Statement'!I20</f>
        <v>3750.2</v>
      </c>
      <c r="J20" s="60">
        <f>'Income Statement'!J20</f>
        <v>4343.2</v>
      </c>
      <c r="K20" s="60">
        <f>'Income Statement'!K20</f>
        <v>4480</v>
      </c>
      <c r="L20" s="192">
        <f>L12*L21</f>
        <v>4656.0735000000004</v>
      </c>
      <c r="M20" s="192">
        <f>M12*M21</f>
        <v>4801.9281243750002</v>
      </c>
      <c r="N20" s="192">
        <f>N12*N21</f>
        <v>4954.9700362218755</v>
      </c>
      <c r="O20" s="192">
        <f>O12*O21</f>
        <v>4908.5558801504549</v>
      </c>
      <c r="P20" s="192">
        <f>P12*P21</f>
        <v>5065.3716357520498</v>
      </c>
      <c r="Q20" s="192">
        <f t="shared" ref="Q20:U20" si="42">Q12*Q21</f>
        <v>5240.8812656846376</v>
      </c>
      <c r="R20" s="192">
        <f t="shared" si="42"/>
        <v>4971.1645724794798</v>
      </c>
      <c r="S20" s="192">
        <f t="shared" si="42"/>
        <v>5144.5858634851647</v>
      </c>
      <c r="T20" s="192">
        <f t="shared" si="42"/>
        <v>5324.6751801145128</v>
      </c>
      <c r="U20" s="245">
        <f t="shared" si="42"/>
        <v>5511.7151039768705</v>
      </c>
      <c r="V20" s="138"/>
      <c r="W20" s="174"/>
    </row>
    <row r="21" spans="1:39" s="41" customFormat="1">
      <c r="A21" s="479" t="s">
        <v>386</v>
      </c>
      <c r="B21" s="59">
        <f t="shared" ref="B21:K21" si="43">(B20/B12)</f>
        <v>0.12046840998397929</v>
      </c>
      <c r="C21" s="59">
        <f t="shared" si="43"/>
        <v>0.13552793923784592</v>
      </c>
      <c r="D21" s="59">
        <f t="shared" si="43"/>
        <v>0.12841495881501599</v>
      </c>
      <c r="E21" s="59">
        <f t="shared" si="43"/>
        <v>0.12632941604805922</v>
      </c>
      <c r="F21" s="59">
        <f t="shared" si="43"/>
        <v>0.12130402963566542</v>
      </c>
      <c r="G21" s="59">
        <f t="shared" si="43"/>
        <v>0.13812399013521559</v>
      </c>
      <c r="H21" s="59">
        <f t="shared" si="43"/>
        <v>0.12305320605906279</v>
      </c>
      <c r="I21" s="59">
        <f t="shared" si="43"/>
        <v>0.11628418960443779</v>
      </c>
      <c r="J21" s="59">
        <f t="shared" si="43"/>
        <v>0.12072627002746306</v>
      </c>
      <c r="K21" s="59">
        <f t="shared" si="43"/>
        <v>0.12383832464437947</v>
      </c>
      <c r="L21" s="193">
        <v>0.125</v>
      </c>
      <c r="M21" s="193">
        <v>0.125</v>
      </c>
      <c r="N21" s="193">
        <v>0.125</v>
      </c>
      <c r="O21" s="193">
        <v>0.12</v>
      </c>
      <c r="P21" s="193">
        <v>0.12</v>
      </c>
      <c r="Q21" s="193">
        <v>0.12</v>
      </c>
      <c r="R21" s="193">
        <v>0.11</v>
      </c>
      <c r="S21" s="193">
        <v>0.11</v>
      </c>
      <c r="T21" s="193">
        <v>0.11</v>
      </c>
      <c r="U21" s="243">
        <v>0.11</v>
      </c>
      <c r="V21" s="138"/>
      <c r="W21" s="174"/>
      <c r="AF21" t="s">
        <v>302</v>
      </c>
      <c r="AG21" s="98">
        <f>1140000000*DCF!B6</f>
        <v>104458200000</v>
      </c>
    </row>
    <row r="22" spans="1:39" s="35" customFormat="1">
      <c r="A22" s="483" t="s">
        <v>6</v>
      </c>
      <c r="B22" s="240">
        <f t="shared" ref="B22:P22" si="44">(B16+B18)-B20</f>
        <v>3655.6000000000004</v>
      </c>
      <c r="C22" s="240">
        <f t="shared" si="44"/>
        <v>4171.9000000000015</v>
      </c>
      <c r="D22" s="240">
        <f t="shared" si="44"/>
        <v>4351.199999999998</v>
      </c>
      <c r="E22" s="240">
        <f t="shared" si="44"/>
        <v>4494.9999999999982</v>
      </c>
      <c r="F22" s="240">
        <f t="shared" si="44"/>
        <v>4570.4999999999982</v>
      </c>
      <c r="G22" s="240">
        <f t="shared" si="44"/>
        <v>2133.1999999999985</v>
      </c>
      <c r="H22" s="240">
        <f t="shared" si="44"/>
        <v>5217.8999999999978</v>
      </c>
      <c r="I22" s="240">
        <f t="shared" si="44"/>
        <v>4854.9999999999991</v>
      </c>
      <c r="J22" s="240">
        <f t="shared" si="44"/>
        <v>5801.3999999999969</v>
      </c>
      <c r="K22" s="240">
        <f t="shared" si="44"/>
        <v>5530.2999999999993</v>
      </c>
      <c r="L22" s="241">
        <f t="shared" si="44"/>
        <v>6146.0170200000011</v>
      </c>
      <c r="M22" s="241">
        <f t="shared" si="44"/>
        <v>6722.6993741250017</v>
      </c>
      <c r="N22" s="241">
        <f t="shared" si="44"/>
        <v>6936.9580507106275</v>
      </c>
      <c r="O22" s="241">
        <f t="shared" si="44"/>
        <v>7362.8338202256864</v>
      </c>
      <c r="P22" s="241">
        <f t="shared" si="44"/>
        <v>7598.0574536280765</v>
      </c>
      <c r="Q22" s="241">
        <f t="shared" ref="Q22:U22" si="45">(Q16+Q18)-Q20</f>
        <v>8734.8021094743999</v>
      </c>
      <c r="R22" s="241">
        <f t="shared" si="45"/>
        <v>9490.4050929153709</v>
      </c>
      <c r="S22" s="241">
        <f t="shared" si="45"/>
        <v>9821.4821030171333</v>
      </c>
      <c r="T22" s="241">
        <f t="shared" si="45"/>
        <v>10649.350360229024</v>
      </c>
      <c r="U22" s="242">
        <f t="shared" si="45"/>
        <v>11023.430207953736</v>
      </c>
      <c r="V22" s="138">
        <f>(K22/B22)^(1/9)-1</f>
        <v>4.7072296473133379E-2</v>
      </c>
      <c r="W22" s="174">
        <f>(U22/L22)^(1/9)-1</f>
        <v>6.7066398223558865E-2</v>
      </c>
      <c r="AF22" t="s">
        <v>303</v>
      </c>
      <c r="AG22" s="98">
        <v>17031500000</v>
      </c>
    </row>
    <row r="23" spans="1:39" s="42" customFormat="1">
      <c r="A23" s="479" t="s">
        <v>386</v>
      </c>
      <c r="B23" s="61">
        <f t="shared" ref="B23:L23" si="46">B22/B12</f>
        <v>0.19076643687998038</v>
      </c>
      <c r="C23" s="61">
        <f t="shared" si="46"/>
        <v>0.19571775059931792</v>
      </c>
      <c r="D23" s="61">
        <f t="shared" si="46"/>
        <v>0.19436453624457262</v>
      </c>
      <c r="E23" s="61">
        <f t="shared" si="46"/>
        <v>0.18184024757782311</v>
      </c>
      <c r="F23" s="61">
        <f t="shared" si="46"/>
        <v>0.17241574432448331</v>
      </c>
      <c r="G23" s="61">
        <f t="shared" si="46"/>
        <v>9.0704991921081654E-2</v>
      </c>
      <c r="H23" s="61">
        <f t="shared" si="46"/>
        <v>0.17955238363970455</v>
      </c>
      <c r="I23" s="61">
        <f t="shared" si="46"/>
        <v>0.15054123527533075</v>
      </c>
      <c r="J23" s="61">
        <f t="shared" si="46"/>
        <v>0.16125929796862309</v>
      </c>
      <c r="K23" s="61">
        <f t="shared" si="46"/>
        <v>0.15287122472785974</v>
      </c>
      <c r="L23" s="194">
        <f t="shared" si="46"/>
        <v>0.16500000000000001</v>
      </c>
      <c r="M23" s="194">
        <f t="shared" ref="M23:P23" si="47">M22/M12</f>
        <v>0.17500000000000004</v>
      </c>
      <c r="N23" s="194">
        <f t="shared" si="47"/>
        <v>0.17500000000000004</v>
      </c>
      <c r="O23" s="194">
        <f t="shared" si="47"/>
        <v>0.18000000000000008</v>
      </c>
      <c r="P23" s="194">
        <f t="shared" si="47"/>
        <v>0.18000000000000002</v>
      </c>
      <c r="Q23" s="194">
        <f t="shared" ref="Q23" si="48">Q22/Q12</f>
        <v>0.20000000000000009</v>
      </c>
      <c r="R23" s="194">
        <f t="shared" ref="R23" si="49">R22/R12</f>
        <v>0.21000000000000002</v>
      </c>
      <c r="S23" s="194">
        <f t="shared" ref="S23" si="50">S22/S12</f>
        <v>0.21000000000000002</v>
      </c>
      <c r="T23" s="194">
        <f t="shared" ref="T23" si="51">T22/T12</f>
        <v>0.21999999999999995</v>
      </c>
      <c r="U23" s="247">
        <f t="shared" ref="U23" si="52">U22/U12</f>
        <v>0.21999999999999989</v>
      </c>
      <c r="V23" s="138"/>
      <c r="W23" s="174"/>
    </row>
    <row r="24" spans="1:39">
      <c r="A24" s="475"/>
      <c r="U24" s="239"/>
      <c r="V24" s="138"/>
      <c r="W24" s="174"/>
    </row>
    <row r="25" spans="1:39" s="35" customFormat="1" ht="16.149999999999999" thickBot="1">
      <c r="A25" s="483" t="s">
        <v>7</v>
      </c>
      <c r="B25" s="62">
        <f>'Adjusted Tax Rate '!C9</f>
        <v>1168.375</v>
      </c>
      <c r="C25" s="62">
        <f>'Adjusted Tax Rate '!D9</f>
        <v>1408.155</v>
      </c>
      <c r="D25" s="62">
        <f>'Adjusted Tax Rate '!E9</f>
        <v>1464.9749999999999</v>
      </c>
      <c r="E25" s="62">
        <f>'Adjusted Tax Rate '!F9</f>
        <v>1303.7235000000001</v>
      </c>
      <c r="F25" s="62">
        <f>'Adjusted Tax Rate '!G9</f>
        <v>941.11</v>
      </c>
      <c r="G25" s="62">
        <f>'Adjusted Tax Rate '!H9</f>
        <v>331.46999999999997</v>
      </c>
      <c r="H25" s="62">
        <f>'Adjusted Tax Rate '!I9</f>
        <v>1255.2579999999998</v>
      </c>
      <c r="I25" s="62">
        <f>'Adjusted Tax Rate '!J9</f>
        <v>1049.9090000000001</v>
      </c>
      <c r="J25" s="62">
        <f>'Adjusted Tax Rate '!K9</f>
        <v>1392.721</v>
      </c>
      <c r="K25" s="62">
        <f>'Adjusted Tax Rate '!L9</f>
        <v>1325.32</v>
      </c>
      <c r="L25" s="248">
        <f>L22*L26</f>
        <v>1475.0440848000003</v>
      </c>
      <c r="M25" s="248">
        <f>M22*M26</f>
        <v>1613.4478497900004</v>
      </c>
      <c r="N25" s="248">
        <f>N22*N26</f>
        <v>1664.8699321705506</v>
      </c>
      <c r="O25" s="248">
        <f>O22*O26</f>
        <v>1767.0801168541648</v>
      </c>
      <c r="P25" s="248">
        <f>P22*P26</f>
        <v>1823.5337888707384</v>
      </c>
      <c r="Q25" s="248">
        <f t="shared" ref="Q25:U25" si="53">Q22*Q26</f>
        <v>2096.3525062738559</v>
      </c>
      <c r="R25" s="248">
        <f t="shared" si="53"/>
        <v>2277.6972222996887</v>
      </c>
      <c r="S25" s="248">
        <f t="shared" si="53"/>
        <v>2357.1557047241117</v>
      </c>
      <c r="T25" s="248">
        <f t="shared" si="53"/>
        <v>2555.8440864549657</v>
      </c>
      <c r="U25" s="249">
        <f t="shared" si="53"/>
        <v>2645.6232499088965</v>
      </c>
      <c r="V25" s="138"/>
      <c r="W25" s="174"/>
    </row>
    <row r="26" spans="1:39" s="53" customFormat="1" ht="16.149999999999999" thickBot="1">
      <c r="A26" s="484" t="s">
        <v>292</v>
      </c>
      <c r="B26" s="55">
        <f>B25/B22</f>
        <v>0.31961237553342814</v>
      </c>
      <c r="C26" s="55">
        <f>C25/C22</f>
        <v>0.33753325822766594</v>
      </c>
      <c r="D26" s="55">
        <f t="shared" ref="D26:K26" si="54">D25/D22</f>
        <v>0.33668298400441271</v>
      </c>
      <c r="E26" s="55">
        <f t="shared" si="54"/>
        <v>0.29003859844271423</v>
      </c>
      <c r="F26" s="55">
        <f t="shared" si="54"/>
        <v>0.20590963789519753</v>
      </c>
      <c r="G26" s="55">
        <f t="shared" si="54"/>
        <v>0.15538627414213399</v>
      </c>
      <c r="H26" s="55">
        <f t="shared" si="54"/>
        <v>0.24056766131968807</v>
      </c>
      <c r="I26" s="55">
        <f t="shared" si="54"/>
        <v>0.21625314109165814</v>
      </c>
      <c r="J26" s="55">
        <f t="shared" si="54"/>
        <v>0.2400663632916194</v>
      </c>
      <c r="K26" s="55">
        <f t="shared" si="54"/>
        <v>0.23964703542303312</v>
      </c>
      <c r="L26" s="55">
        <v>0.24</v>
      </c>
      <c r="M26" s="55">
        <v>0.24</v>
      </c>
      <c r="N26" s="55">
        <v>0.24</v>
      </c>
      <c r="O26" s="55">
        <v>0.24</v>
      </c>
      <c r="P26" s="55">
        <v>0.24</v>
      </c>
      <c r="Q26" s="55">
        <v>0.24</v>
      </c>
      <c r="R26" s="55">
        <v>0.24</v>
      </c>
      <c r="S26" s="55">
        <v>0.24</v>
      </c>
      <c r="T26" s="55">
        <v>0.24</v>
      </c>
      <c r="U26" s="250">
        <v>0.24</v>
      </c>
      <c r="V26" s="138"/>
      <c r="W26" s="174"/>
      <c r="AA26" s="558" t="s">
        <v>293</v>
      </c>
      <c r="AB26" s="559"/>
      <c r="AC26" s="560"/>
    </row>
    <row r="27" spans="1:39" ht="16.149999999999999" thickBot="1">
      <c r="A27" s="485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U27" s="239"/>
      <c r="V27" s="138"/>
      <c r="W27" s="174"/>
      <c r="AA27" s="91" t="s">
        <v>294</v>
      </c>
      <c r="AB27" s="92"/>
      <c r="AC27" s="93"/>
      <c r="AD27" s="35" t="s">
        <v>320</v>
      </c>
    </row>
    <row r="28" spans="1:39" s="35" customFormat="1">
      <c r="A28" s="483" t="s">
        <v>371</v>
      </c>
      <c r="B28" s="251">
        <f>B22*(1-B26)</f>
        <v>2487.2250000000004</v>
      </c>
      <c r="C28" s="251">
        <f t="shared" ref="C28:K28" si="55">C22*(1-C26)</f>
        <v>2763.7450000000013</v>
      </c>
      <c r="D28" s="251">
        <f t="shared" si="55"/>
        <v>2886.2249999999976</v>
      </c>
      <c r="E28" s="251">
        <f t="shared" si="55"/>
        <v>3191.2764999999981</v>
      </c>
      <c r="F28" s="251">
        <f t="shared" si="55"/>
        <v>3629.3899999999981</v>
      </c>
      <c r="G28" s="251">
        <f t="shared" si="55"/>
        <v>1801.7299999999984</v>
      </c>
      <c r="H28" s="251">
        <f t="shared" si="55"/>
        <v>3962.641999999998</v>
      </c>
      <c r="I28" s="251">
        <f t="shared" si="55"/>
        <v>3805.090999999999</v>
      </c>
      <c r="J28" s="251">
        <f t="shared" si="55"/>
        <v>4408.6789999999974</v>
      </c>
      <c r="K28" s="251">
        <f t="shared" si="55"/>
        <v>4204.9799999999996</v>
      </c>
      <c r="L28" s="252">
        <f>L22*(1-L26)</f>
        <v>4670.9729352000013</v>
      </c>
      <c r="M28" s="252">
        <f t="shared" ref="M28:U28" si="56">M22*(1-M26)</f>
        <v>5109.2515243350017</v>
      </c>
      <c r="N28" s="252">
        <f t="shared" si="56"/>
        <v>5272.0881185400767</v>
      </c>
      <c r="O28" s="252">
        <f t="shared" si="56"/>
        <v>5595.7537033715216</v>
      </c>
      <c r="P28" s="252">
        <f t="shared" si="56"/>
        <v>5774.5236647573383</v>
      </c>
      <c r="Q28" s="252">
        <f t="shared" si="56"/>
        <v>6638.4496032005436</v>
      </c>
      <c r="R28" s="252">
        <f t="shared" si="56"/>
        <v>7212.7078706156817</v>
      </c>
      <c r="S28" s="252">
        <f t="shared" si="56"/>
        <v>7464.3263982930212</v>
      </c>
      <c r="T28" s="252">
        <f t="shared" si="56"/>
        <v>8093.5062737740582</v>
      </c>
      <c r="U28" s="253">
        <f t="shared" si="56"/>
        <v>8377.8069580448391</v>
      </c>
      <c r="V28" s="138">
        <f>(K28/B28)^(1/9)-1</f>
        <v>6.0080296024725754E-2</v>
      </c>
      <c r="W28" s="174">
        <f>(U28/L28)^(1/9)-1</f>
        <v>6.7066398223558643E-2</v>
      </c>
      <c r="AA28" s="71" t="s">
        <v>297</v>
      </c>
      <c r="AB28" s="72"/>
      <c r="AC28" s="472">
        <v>4.3490000000000001E-2</v>
      </c>
      <c r="AD28" s="110" t="s">
        <v>318</v>
      </c>
    </row>
    <row r="29" spans="1:39" s="53" customFormat="1" ht="16.149999999999999" thickBot="1">
      <c r="A29" s="479" t="s">
        <v>386</v>
      </c>
      <c r="B29" s="56">
        <f t="shared" ref="B29:U29" si="57">B28/B12</f>
        <v>0.12979512281672209</v>
      </c>
      <c r="C29" s="56">
        <f t="shared" si="57"/>
        <v>0.12965650054654043</v>
      </c>
      <c r="D29" s="56">
        <f t="shared" si="57"/>
        <v>0.12892530419711606</v>
      </c>
      <c r="E29" s="56">
        <f t="shared" si="57"/>
        <v>0.12909955702987513</v>
      </c>
      <c r="F29" s="56">
        <f t="shared" si="57"/>
        <v>0.13691368084319799</v>
      </c>
      <c r="G29" s="56">
        <f t="shared" si="57"/>
        <v>7.6610681180372411E-2</v>
      </c>
      <c r="H29" s="56">
        <f t="shared" si="57"/>
        <v>0.1363578866231254</v>
      </c>
      <c r="I29" s="56">
        <f t="shared" si="57"/>
        <v>0.11798622028322214</v>
      </c>
      <c r="J29" s="56">
        <f t="shared" si="57"/>
        <v>0.12254636475833613</v>
      </c>
      <c r="K29" s="56">
        <f t="shared" si="57"/>
        <v>0.11623608892033989</v>
      </c>
      <c r="L29" s="195">
        <f t="shared" si="57"/>
        <v>0.12540000000000001</v>
      </c>
      <c r="M29" s="195">
        <f t="shared" si="57"/>
        <v>0.13300000000000003</v>
      </c>
      <c r="N29" s="195">
        <f t="shared" si="57"/>
        <v>0.13300000000000003</v>
      </c>
      <c r="O29" s="195">
        <f t="shared" si="57"/>
        <v>0.13680000000000006</v>
      </c>
      <c r="P29" s="195">
        <f t="shared" si="57"/>
        <v>0.13680000000000003</v>
      </c>
      <c r="Q29" s="195">
        <f t="shared" si="57"/>
        <v>0.15200000000000005</v>
      </c>
      <c r="R29" s="195">
        <f t="shared" si="57"/>
        <v>0.15960000000000002</v>
      </c>
      <c r="S29" s="195">
        <f t="shared" si="57"/>
        <v>0.15960000000000002</v>
      </c>
      <c r="T29" s="195">
        <f t="shared" si="57"/>
        <v>0.16719999999999996</v>
      </c>
      <c r="U29" s="254">
        <f t="shared" si="57"/>
        <v>0.16719999999999993</v>
      </c>
      <c r="W29" s="174"/>
      <c r="AA29" s="473" t="s">
        <v>294</v>
      </c>
      <c r="AB29" s="156"/>
      <c r="AC29" s="474">
        <f>AH34</f>
        <v>3.8811173333333331E-2</v>
      </c>
      <c r="AD29" s="109" t="s">
        <v>321</v>
      </c>
      <c r="AF29" s="53" t="s">
        <v>385</v>
      </c>
    </row>
    <row r="30" spans="1:39" ht="16.149999999999999" thickBot="1">
      <c r="A30" s="475" t="s">
        <v>8</v>
      </c>
      <c r="U30" s="239"/>
      <c r="V30" s="138"/>
      <c r="W30" s="174"/>
      <c r="AA30" s="94" t="s">
        <v>296</v>
      </c>
      <c r="AB30" s="89"/>
      <c r="AC30" s="90"/>
      <c r="AD30" s="110"/>
      <c r="AF30" s="102" t="s">
        <v>305</v>
      </c>
      <c r="AG30" s="102" t="s">
        <v>308</v>
      </c>
      <c r="AH30" s="102" t="s">
        <v>307</v>
      </c>
      <c r="AI30" s="100"/>
    </row>
    <row r="31" spans="1:39">
      <c r="A31" s="483" t="s">
        <v>9</v>
      </c>
      <c r="B31" s="255">
        <f>'Income Statement'!B29</f>
        <v>893.9</v>
      </c>
      <c r="C31" s="255">
        <f>'Income Statement'!C29</f>
        <v>980.8</v>
      </c>
      <c r="D31" s="255">
        <f>'Income Statement'!D29</f>
        <v>1011.4</v>
      </c>
      <c r="E31" s="255">
        <f>'Income Statement'!E29</f>
        <v>1247</v>
      </c>
      <c r="F31" s="255">
        <f>'Income Statement'!F29</f>
        <v>1377.3</v>
      </c>
      <c r="G31" s="255">
        <f>'Income Statement'!G29</f>
        <v>1431.3</v>
      </c>
      <c r="H31" s="255">
        <f>'Income Statement'!H29</f>
        <v>1441.7</v>
      </c>
      <c r="I31" s="255">
        <f>'Income Statement'!I29</f>
        <v>1447.9</v>
      </c>
      <c r="J31" s="255">
        <f>'Income Statement'!J29</f>
        <v>1362.6</v>
      </c>
      <c r="K31" s="255">
        <f>'Income Statement'!K29</f>
        <v>1512.6</v>
      </c>
      <c r="L31" s="256">
        <f>L12*L32</f>
        <v>1676.1864600000001</v>
      </c>
      <c r="M31" s="256">
        <f t="shared" ref="M31:T31" si="58">M12*M32</f>
        <v>1728.6941247750001</v>
      </c>
      <c r="N31" s="256">
        <f t="shared" si="58"/>
        <v>1783.7892130398752</v>
      </c>
      <c r="O31" s="256">
        <f t="shared" si="58"/>
        <v>1840.7084550564207</v>
      </c>
      <c r="P31" s="256">
        <f t="shared" si="58"/>
        <v>1688.4572119173502</v>
      </c>
      <c r="Q31" s="256">
        <f t="shared" si="58"/>
        <v>1746.9604218948793</v>
      </c>
      <c r="R31" s="256">
        <f t="shared" si="58"/>
        <v>1581.7341821525617</v>
      </c>
      <c r="S31" s="256">
        <f t="shared" si="58"/>
        <v>1636.913683836189</v>
      </c>
      <c r="T31" s="256">
        <f t="shared" si="58"/>
        <v>1694.2148300364361</v>
      </c>
      <c r="U31" s="257">
        <f>U34</f>
        <v>1801.3006026804148</v>
      </c>
      <c r="V31" s="138"/>
      <c r="W31" s="174"/>
      <c r="AA31" s="71" t="s">
        <v>297</v>
      </c>
      <c r="AB31" s="72"/>
      <c r="AC31" s="114">
        <v>4.3490000000000001E-2</v>
      </c>
      <c r="AD31" s="110"/>
      <c r="AF31" s="102">
        <v>2033</v>
      </c>
      <c r="AG31" s="107">
        <v>4.9515999999999998E-2</v>
      </c>
      <c r="AH31" s="108">
        <v>0.24</v>
      </c>
      <c r="AI31"/>
      <c r="AJ31"/>
      <c r="AK31"/>
      <c r="AL31"/>
      <c r="AM31"/>
    </row>
    <row r="32" spans="1:39">
      <c r="A32" s="479" t="s">
        <v>386</v>
      </c>
      <c r="B32" s="43">
        <f t="shared" ref="B32:K32" si="59">B31/B12</f>
        <v>4.6647914959791675E-2</v>
      </c>
      <c r="C32" s="43">
        <f t="shared" si="59"/>
        <v>4.6012600922316203E-2</v>
      </c>
      <c r="D32" s="43">
        <f t="shared" si="59"/>
        <v>4.5178408705129812E-2</v>
      </c>
      <c r="E32" s="43">
        <f t="shared" si="59"/>
        <v>5.0446004166750949E-2</v>
      </c>
      <c r="F32" s="43">
        <f t="shared" si="59"/>
        <v>5.1956723478418329E-2</v>
      </c>
      <c r="G32" s="43">
        <f t="shared" si="59"/>
        <v>6.0859766986988688E-2</v>
      </c>
      <c r="H32" s="43">
        <f t="shared" si="59"/>
        <v>4.9610125049035468E-2</v>
      </c>
      <c r="I32" s="43">
        <f t="shared" si="59"/>
        <v>4.489570639652965E-2</v>
      </c>
      <c r="J32" s="43">
        <f t="shared" si="59"/>
        <v>3.7875671288317633E-2</v>
      </c>
      <c r="K32" s="43">
        <f t="shared" si="59"/>
        <v>4.1812020057385796E-2</v>
      </c>
      <c r="L32" s="193">
        <v>4.4999999999999998E-2</v>
      </c>
      <c r="M32" s="193">
        <v>4.4999999999999998E-2</v>
      </c>
      <c r="N32" s="193">
        <v>4.4999999999999998E-2</v>
      </c>
      <c r="O32" s="193">
        <v>4.4999999999999998E-2</v>
      </c>
      <c r="P32" s="193">
        <v>0.04</v>
      </c>
      <c r="Q32" s="193">
        <v>0.04</v>
      </c>
      <c r="R32" s="193">
        <v>3.5000000000000003E-2</v>
      </c>
      <c r="S32" s="193">
        <v>3.5000000000000003E-2</v>
      </c>
      <c r="T32" s="193">
        <v>3.5000000000000003E-2</v>
      </c>
      <c r="U32" s="351">
        <f>U31/U12</f>
        <v>3.5949439068771787E-2</v>
      </c>
      <c r="V32" s="138"/>
      <c r="W32" s="174"/>
      <c r="AA32" s="73" t="s">
        <v>295</v>
      </c>
      <c r="AB32" s="69"/>
      <c r="AC32" s="74">
        <v>0.24</v>
      </c>
      <c r="AD32" s="110"/>
      <c r="AF32" s="102">
        <v>2034</v>
      </c>
      <c r="AG32" s="107">
        <v>5.0587E-2</v>
      </c>
      <c r="AH32" s="108">
        <v>0.24</v>
      </c>
      <c r="AI32"/>
      <c r="AJ32"/>
      <c r="AK32"/>
      <c r="AL32"/>
      <c r="AM32"/>
    </row>
    <row r="33" spans="1:39" s="42" customFormat="1">
      <c r="A33" s="475"/>
      <c r="B33" s="34"/>
      <c r="C33" s="34"/>
      <c r="D33" s="34"/>
      <c r="E33" s="34"/>
      <c r="F33" s="34"/>
      <c r="G33" s="34"/>
      <c r="H33" s="34"/>
      <c r="I33" s="34"/>
      <c r="J33" s="350"/>
      <c r="K33" s="121"/>
      <c r="L33" s="34"/>
      <c r="M33" s="244"/>
      <c r="N33" s="34"/>
      <c r="O33" s="34"/>
      <c r="P33" s="34"/>
      <c r="Q33" s="34"/>
      <c r="R33" s="34"/>
      <c r="S33" s="34"/>
      <c r="T33" s="34"/>
      <c r="U33" s="239"/>
      <c r="V33" s="138"/>
      <c r="W33" s="174"/>
      <c r="AA33" s="75" t="s">
        <v>298</v>
      </c>
      <c r="AB33" s="69"/>
      <c r="AC33" s="76">
        <f>AG22/(AG22+AG21)</f>
        <v>0.14018883905384572</v>
      </c>
      <c r="AD33" s="109" t="s">
        <v>319</v>
      </c>
      <c r="AF33" s="102">
        <v>2035</v>
      </c>
      <c r="AG33" s="107">
        <v>5.3099E-2</v>
      </c>
      <c r="AH33" s="108">
        <v>0.24</v>
      </c>
      <c r="AI33"/>
      <c r="AJ33"/>
      <c r="AK33"/>
      <c r="AL33"/>
      <c r="AM33"/>
    </row>
    <row r="34" spans="1:39">
      <c r="A34" s="483" t="s">
        <v>10</v>
      </c>
      <c r="B34" s="258">
        <f>-('Cash Flow '!B33)</f>
        <v>1303.7</v>
      </c>
      <c r="C34" s="258">
        <f>-('Cash Flow '!C33)</f>
        <v>1440.3</v>
      </c>
      <c r="D34" s="258">
        <f>-('Cash Flow '!D33)</f>
        <v>1519.4</v>
      </c>
      <c r="E34" s="258">
        <f>-('Cash Flow '!E33)</f>
        <v>1976.4</v>
      </c>
      <c r="F34" s="258">
        <f>-('Cash Flow '!F33)</f>
        <v>1806.6</v>
      </c>
      <c r="G34" s="258">
        <f>-('Cash Flow '!G33)</f>
        <v>1483.6</v>
      </c>
      <c r="H34" s="258">
        <f>-('Cash Flow '!H33)</f>
        <v>1470</v>
      </c>
      <c r="I34" s="258">
        <f>-('Cash Flow '!I33)</f>
        <v>1841.3</v>
      </c>
      <c r="J34" s="258">
        <f>-('Cash Flow '!J33)</f>
        <v>2333.6</v>
      </c>
      <c r="K34" s="258">
        <f>-('Cash Flow '!K33)</f>
        <v>2777.5</v>
      </c>
      <c r="L34" s="256">
        <f>'growth calculation'!I53</f>
        <v>2907.5092800000011</v>
      </c>
      <c r="M34" s="256">
        <f>'growth calculation'!J53</f>
        <v>2329.6151771999976</v>
      </c>
      <c r="N34" s="256">
        <f>'growth calculation'!K53</f>
        <v>2414.321889849004</v>
      </c>
      <c r="O34" s="256">
        <f>'growth calculation'!L53</f>
        <v>1878.5480731158561</v>
      </c>
      <c r="P34" s="256">
        <f>'growth calculation'!M53</f>
        <v>2447.3847693354965</v>
      </c>
      <c r="Q34" s="256">
        <f>'growth calculation'!N53</f>
        <v>2587.4355729824242</v>
      </c>
      <c r="R34" s="256">
        <f>'growth calculation'!O53</f>
        <v>2679.8745496787146</v>
      </c>
      <c r="S34" s="256">
        <f>'growth calculation'!P53</f>
        <v>2191.3474673399787</v>
      </c>
      <c r="T34" s="256">
        <f>'growth calculation'!Q53</f>
        <v>1770.3388068242789</v>
      </c>
      <c r="U34" s="257">
        <f>'growth calculation'!R53</f>
        <v>1801.3006026804148</v>
      </c>
      <c r="V34" s="138"/>
      <c r="W34" s="174"/>
      <c r="AA34" s="73" t="s">
        <v>299</v>
      </c>
      <c r="AB34" s="69"/>
      <c r="AC34" s="115">
        <v>4.5100000000000001E-2</v>
      </c>
      <c r="AD34" s="110" t="s">
        <v>322</v>
      </c>
      <c r="AF34"/>
      <c r="AG34" s="105" t="s">
        <v>304</v>
      </c>
      <c r="AH34" s="106">
        <f>AVERAGE(AG31:AG33)*(1-AH31)</f>
        <v>3.8811173333333331E-2</v>
      </c>
      <c r="AI34"/>
      <c r="AJ34"/>
      <c r="AK34"/>
      <c r="AL34"/>
      <c r="AM34"/>
    </row>
    <row r="35" spans="1:39">
      <c r="A35" s="479" t="s">
        <v>386</v>
      </c>
      <c r="B35" s="44">
        <f t="shared" ref="B35:U35" si="60">B34/B12</f>
        <v>6.8033210351359674E-2</v>
      </c>
      <c r="C35" s="45">
        <f t="shared" si="60"/>
        <v>6.7569279270403779E-2</v>
      </c>
      <c r="D35" s="45">
        <f t="shared" si="60"/>
        <v>6.7870352171815543E-2</v>
      </c>
      <c r="E35" s="45">
        <f t="shared" si="60"/>
        <v>7.9953073484496054E-2</v>
      </c>
      <c r="F35" s="45">
        <f t="shared" si="60"/>
        <v>6.8151467825535869E-2</v>
      </c>
      <c r="G35" s="45">
        <f t="shared" si="60"/>
        <v>6.3083595543838758E-2</v>
      </c>
      <c r="H35" s="45">
        <f t="shared" si="60"/>
        <v>5.058395215515165E-2</v>
      </c>
      <c r="I35" s="45">
        <f t="shared" si="60"/>
        <v>5.7094042536038427E-2</v>
      </c>
      <c r="J35" s="45">
        <f t="shared" si="60"/>
        <v>6.4866187082355822E-2</v>
      </c>
      <c r="K35" s="45">
        <f t="shared" si="60"/>
        <v>7.6776997031197308E-2</v>
      </c>
      <c r="L35" s="196">
        <f t="shared" si="60"/>
        <v>7.8056899230650054E-2</v>
      </c>
      <c r="M35" s="196">
        <f t="shared" si="60"/>
        <v>6.0642702182865632E-2</v>
      </c>
      <c r="N35" s="196">
        <f t="shared" si="60"/>
        <v>6.0906571386905521E-2</v>
      </c>
      <c r="O35" s="196">
        <f t="shared" si="60"/>
        <v>4.5925069262325084E-2</v>
      </c>
      <c r="P35" s="196">
        <f t="shared" si="60"/>
        <v>5.7979195494242609E-2</v>
      </c>
      <c r="Q35" s="196">
        <f t="shared" si="60"/>
        <v>5.92442860308399E-2</v>
      </c>
      <c r="R35" s="196">
        <f t="shared" si="60"/>
        <v>5.929922378683742E-2</v>
      </c>
      <c r="S35" s="196">
        <f t="shared" si="60"/>
        <v>4.6854737738617737E-2</v>
      </c>
      <c r="T35" s="196">
        <f t="shared" si="60"/>
        <v>3.6572610002190337E-2</v>
      </c>
      <c r="U35" s="259">
        <f t="shared" si="60"/>
        <v>3.5949439068771787E-2</v>
      </c>
      <c r="V35" s="138"/>
      <c r="W35" s="174"/>
      <c r="AA35" s="73" t="s">
        <v>300</v>
      </c>
      <c r="AB35" s="69"/>
      <c r="AC35" s="117">
        <v>0.82904772077806599</v>
      </c>
      <c r="AD35" s="110" t="s">
        <v>336</v>
      </c>
      <c r="AF35"/>
      <c r="AG35"/>
      <c r="AH35"/>
      <c r="AI35"/>
      <c r="AJ35"/>
      <c r="AK35"/>
      <c r="AL35"/>
      <c r="AM35"/>
    </row>
    <row r="36" spans="1:39" s="36" customFormat="1" ht="16.149999999999999" thickBot="1">
      <c r="A36" s="486"/>
      <c r="B36" s="44"/>
      <c r="C36" s="45"/>
      <c r="D36" s="45"/>
      <c r="E36" s="45"/>
      <c r="F36" s="45"/>
      <c r="G36" s="45"/>
      <c r="H36" s="45"/>
      <c r="I36" s="45"/>
      <c r="J36" s="45"/>
      <c r="K36" s="45"/>
      <c r="L36" s="196"/>
      <c r="M36" s="196"/>
      <c r="N36" s="260"/>
      <c r="O36" s="260"/>
      <c r="P36" s="260"/>
      <c r="Q36" s="260"/>
      <c r="R36" s="260"/>
      <c r="S36" s="260"/>
      <c r="T36" s="260"/>
      <c r="U36" s="261"/>
      <c r="V36" s="138"/>
      <c r="W36" s="174"/>
      <c r="AA36" s="77" t="s">
        <v>296</v>
      </c>
      <c r="AB36" s="78"/>
      <c r="AC36" s="116">
        <f>AC31+(AC35*AC34)</f>
        <v>8.0880052207090769E-2</v>
      </c>
      <c r="AF36"/>
      <c r="AG36"/>
      <c r="AH36"/>
      <c r="AI36"/>
      <c r="AJ36"/>
      <c r="AK36"/>
      <c r="AL36"/>
      <c r="AM36"/>
    </row>
    <row r="37" spans="1:39" s="36" customFormat="1" ht="16.149999999999999" thickBot="1">
      <c r="A37" s="475" t="s">
        <v>290</v>
      </c>
      <c r="B37" s="244">
        <f>'growth calculation'!C80</f>
        <v>416.00000000000023</v>
      </c>
      <c r="C37" s="244">
        <f>'growth calculation'!D80</f>
        <v>321.80000000000018</v>
      </c>
      <c r="D37" s="244">
        <f>'growth calculation'!E80</f>
        <v>281.90000000000009</v>
      </c>
      <c r="E37" s="244">
        <f>'growth calculation'!F80</f>
        <v>723.80000000000018</v>
      </c>
      <c r="F37" s="244">
        <f>'growth calculation'!G80</f>
        <v>425.50000000000045</v>
      </c>
      <c r="G37" s="244">
        <f>'growth calculation'!H80</f>
        <v>347.40000000000009</v>
      </c>
      <c r="H37" s="244">
        <f>'growth calculation'!I80</f>
        <v>162.50000000000045</v>
      </c>
      <c r="I37" s="244">
        <f>'growth calculation'!J80</f>
        <v>788.89999999999964</v>
      </c>
      <c r="J37" s="244">
        <f>'growth calculation'!K80</f>
        <v>64.900000000000091</v>
      </c>
      <c r="K37" s="244">
        <f>'growth calculation'!L80</f>
        <v>-77.299999999999727</v>
      </c>
      <c r="L37" s="262">
        <f>L12*L38</f>
        <v>297.98870400000004</v>
      </c>
      <c r="M37" s="262">
        <f t="shared" ref="M37:U37" si="61">M12*M38</f>
        <v>307.32339996000002</v>
      </c>
      <c r="N37" s="262">
        <f t="shared" si="61"/>
        <v>356.75784260797502</v>
      </c>
      <c r="O37" s="262">
        <f t="shared" si="61"/>
        <v>409.04632334587131</v>
      </c>
      <c r="P37" s="262">
        <f t="shared" si="61"/>
        <v>422.11430297933754</v>
      </c>
      <c r="Q37" s="262">
        <f t="shared" si="61"/>
        <v>524.08812656846374</v>
      </c>
      <c r="R37" s="262">
        <f t="shared" si="61"/>
        <v>542.30886245230681</v>
      </c>
      <c r="S37" s="262">
        <f t="shared" si="61"/>
        <v>561.22754874383611</v>
      </c>
      <c r="T37" s="262">
        <f t="shared" si="61"/>
        <v>629.27979401353332</v>
      </c>
      <c r="U37" s="263">
        <f t="shared" si="61"/>
        <v>701.49101323341984</v>
      </c>
      <c r="V37" s="138"/>
      <c r="W37" s="174"/>
      <c r="AA37" s="79" t="s">
        <v>301</v>
      </c>
      <c r="AB37" s="80"/>
      <c r="AC37" s="111">
        <v>3.0450000000000001E-2</v>
      </c>
      <c r="AD37" s="154" t="s">
        <v>337</v>
      </c>
      <c r="AF37"/>
      <c r="AG37"/>
      <c r="AH37"/>
      <c r="AI37"/>
      <c r="AJ37"/>
      <c r="AK37"/>
      <c r="AL37"/>
      <c r="AM37"/>
    </row>
    <row r="38" spans="1:39" ht="28.9" thickBot="1">
      <c r="A38" s="479" t="s">
        <v>386</v>
      </c>
      <c r="B38" s="48">
        <f t="shared" ref="B38:K38" si="62">B37/B12</f>
        <v>2.1708840612231065E-2</v>
      </c>
      <c r="C38" s="48">
        <f t="shared" si="62"/>
        <v>1.5096711844210199E-2</v>
      </c>
      <c r="D38" s="48">
        <f t="shared" si="62"/>
        <v>1.2592241856808481E-2</v>
      </c>
      <c r="E38" s="48">
        <f t="shared" si="62"/>
        <v>2.92805275187605E-2</v>
      </c>
      <c r="F38" s="48">
        <f t="shared" si="62"/>
        <v>1.6051394641738926E-2</v>
      </c>
      <c r="G38" s="48">
        <f t="shared" si="62"/>
        <v>1.4771664257164729E-2</v>
      </c>
      <c r="H38" s="48">
        <f t="shared" si="62"/>
        <v>5.591763418511678E-3</v>
      </c>
      <c r="I38" s="48">
        <f t="shared" si="62"/>
        <v>2.4461787952360124E-2</v>
      </c>
      <c r="J38" s="48">
        <f t="shared" si="62"/>
        <v>1.8040004892204743E-3</v>
      </c>
      <c r="K38" s="48">
        <f t="shared" si="62"/>
        <v>-2.1367639497791293E-3</v>
      </c>
      <c r="L38" s="197">
        <v>8.0000000000000002E-3</v>
      </c>
      <c r="M38" s="197">
        <v>8.0000000000000002E-3</v>
      </c>
      <c r="N38" s="197">
        <v>8.9999999999999993E-3</v>
      </c>
      <c r="O38" s="197">
        <v>0.01</v>
      </c>
      <c r="P38" s="197">
        <v>0.01</v>
      </c>
      <c r="Q38" s="197">
        <v>1.2E-2</v>
      </c>
      <c r="R38" s="197">
        <v>1.2E-2</v>
      </c>
      <c r="S38" s="197">
        <v>1.2E-2</v>
      </c>
      <c r="T38" s="197">
        <v>1.2999999999999999E-2</v>
      </c>
      <c r="U38" s="264">
        <v>1.4E-2</v>
      </c>
      <c r="V38" s="138"/>
      <c r="W38" s="174"/>
      <c r="AA38" s="81" t="s">
        <v>267</v>
      </c>
      <c r="AB38" s="82"/>
      <c r="AC38" s="83">
        <f>(AC33*AC29)+((1-AC33)*AC36)</f>
        <v>7.4982464917481867E-2</v>
      </c>
      <c r="AF38" s="99" t="s">
        <v>309</v>
      </c>
      <c r="AG38" s="99" t="s">
        <v>326</v>
      </c>
      <c r="AH38" s="99" t="s">
        <v>310</v>
      </c>
      <c r="AI38" s="101" t="s">
        <v>311</v>
      </c>
      <c r="AJ38" s="100"/>
      <c r="AK38" s="100"/>
      <c r="AL38"/>
      <c r="AM38"/>
    </row>
    <row r="39" spans="1:39" s="47" customFormat="1" ht="16.149999999999999" thickBot="1">
      <c r="A39" s="483" t="s">
        <v>369</v>
      </c>
      <c r="B39" s="251"/>
      <c r="C39" s="251">
        <f>'growth calculation'!D82</f>
        <v>-94.200000000000045</v>
      </c>
      <c r="D39" s="251">
        <f>'growth calculation'!E82</f>
        <v>-39.900000000000091</v>
      </c>
      <c r="E39" s="251">
        <f>'growth calculation'!F82</f>
        <v>441.90000000000009</v>
      </c>
      <c r="F39" s="251">
        <f>'growth calculation'!G82</f>
        <v>-298.29999999999973</v>
      </c>
      <c r="G39" s="251">
        <f>'growth calculation'!H82</f>
        <v>-78.100000000000364</v>
      </c>
      <c r="H39" s="251">
        <f>'growth calculation'!I82</f>
        <v>-184.89999999999964</v>
      </c>
      <c r="I39" s="251">
        <f>'growth calculation'!J82</f>
        <v>626.39999999999918</v>
      </c>
      <c r="J39" s="251">
        <f>'growth calculation'!K82</f>
        <v>-723.99999999999955</v>
      </c>
      <c r="K39" s="251">
        <f>'growth calculation'!L82</f>
        <v>-142.19999999999982</v>
      </c>
      <c r="L39" s="252">
        <f>L37-K37</f>
        <v>375.28870399999977</v>
      </c>
      <c r="M39" s="252">
        <f t="shared" ref="M39:U39" si="63">M37-L37</f>
        <v>9.3346959599999764</v>
      </c>
      <c r="N39" s="252">
        <f t="shared" si="63"/>
        <v>49.434442647975004</v>
      </c>
      <c r="O39" s="252">
        <f t="shared" si="63"/>
        <v>52.288480737896293</v>
      </c>
      <c r="P39" s="252">
        <f t="shared" si="63"/>
        <v>13.067979633466223</v>
      </c>
      <c r="Q39" s="252">
        <f t="shared" si="63"/>
        <v>101.9738235891262</v>
      </c>
      <c r="R39" s="252">
        <f t="shared" si="63"/>
        <v>18.220735883843076</v>
      </c>
      <c r="S39" s="252">
        <f t="shared" si="63"/>
        <v>18.918686291529298</v>
      </c>
      <c r="T39" s="252">
        <f t="shared" si="63"/>
        <v>68.05224526969721</v>
      </c>
      <c r="U39" s="253">
        <f t="shared" si="63"/>
        <v>72.211219219886516</v>
      </c>
      <c r="V39" s="138"/>
      <c r="W39" s="174"/>
      <c r="AA39" s="34"/>
      <c r="AB39" s="34"/>
      <c r="AC39" s="34"/>
      <c r="AF39" s="99" t="s">
        <v>312</v>
      </c>
      <c r="AG39" s="103">
        <v>0.73799999999999999</v>
      </c>
      <c r="AH39" s="103">
        <v>4.3299999999999998E-2</v>
      </c>
      <c r="AI39" s="103">
        <v>3.1954999999999997E-2</v>
      </c>
      <c r="AJ39"/>
      <c r="AK39"/>
      <c r="AL39"/>
      <c r="AM39"/>
    </row>
    <row r="40" spans="1:39" ht="16.149999999999999" thickBot="1">
      <c r="A40" s="475"/>
      <c r="B40" s="244"/>
      <c r="C40" s="244"/>
      <c r="D40" s="244"/>
      <c r="E40" s="244"/>
      <c r="F40" s="244"/>
      <c r="G40" s="244"/>
      <c r="H40" s="244"/>
      <c r="I40" s="244"/>
      <c r="J40" s="244"/>
      <c r="K40" s="244"/>
      <c r="L40" s="251"/>
      <c r="M40" s="251"/>
      <c r="N40" s="251"/>
      <c r="O40" s="251"/>
      <c r="P40" s="251"/>
      <c r="Q40" s="251"/>
      <c r="R40" s="251"/>
      <c r="S40" s="251"/>
      <c r="T40" s="251"/>
      <c r="U40" s="265"/>
      <c r="V40" s="138"/>
      <c r="W40" s="174"/>
      <c r="AF40" s="99" t="s">
        <v>313</v>
      </c>
      <c r="AG40" s="103">
        <v>8.3000000000000004E-2</v>
      </c>
      <c r="AH40" s="103">
        <v>5.2699999999999997E-2</v>
      </c>
      <c r="AI40" s="103">
        <v>4.3740000000000003E-3</v>
      </c>
      <c r="AJ40"/>
      <c r="AK40"/>
      <c r="AL40"/>
      <c r="AM40"/>
    </row>
    <row r="41" spans="1:39" ht="16.149999999999999" thickBot="1">
      <c r="A41" s="487" t="s">
        <v>265</v>
      </c>
      <c r="B41" s="266">
        <f t="shared" ref="B41:U41" si="64">B28+B31-B34-B39</f>
        <v>2077.4250000000002</v>
      </c>
      <c r="C41" s="266">
        <f t="shared" si="64"/>
        <v>2398.4450000000006</v>
      </c>
      <c r="D41" s="266">
        <f t="shared" si="64"/>
        <v>2418.1249999999977</v>
      </c>
      <c r="E41" s="266">
        <f t="shared" si="64"/>
        <v>2019.9764999999979</v>
      </c>
      <c r="F41" s="266">
        <f t="shared" si="64"/>
        <v>3498.3899999999976</v>
      </c>
      <c r="G41" s="266">
        <f t="shared" si="64"/>
        <v>1827.5299999999988</v>
      </c>
      <c r="H41" s="266">
        <f t="shared" si="64"/>
        <v>4119.2419999999975</v>
      </c>
      <c r="I41" s="266">
        <f t="shared" si="64"/>
        <v>2785.2909999999997</v>
      </c>
      <c r="J41" s="266">
        <f t="shared" si="64"/>
        <v>4161.6789999999964</v>
      </c>
      <c r="K41" s="266">
        <f>K28+K31-K34-K39</f>
        <v>3082.2799999999997</v>
      </c>
      <c r="L41" s="267">
        <f>L28+L31-L34-L39</f>
        <v>3064.3614112000005</v>
      </c>
      <c r="M41" s="267">
        <f t="shared" si="64"/>
        <v>4498.9957759500039</v>
      </c>
      <c r="N41" s="267">
        <f t="shared" si="64"/>
        <v>4592.120999082973</v>
      </c>
      <c r="O41" s="267">
        <f t="shared" si="64"/>
        <v>5505.6256045741902</v>
      </c>
      <c r="P41" s="267">
        <f t="shared" si="64"/>
        <v>5002.5281277057256</v>
      </c>
      <c r="Q41" s="267">
        <f t="shared" si="64"/>
        <v>5696.0006285238733</v>
      </c>
      <c r="R41" s="267">
        <f t="shared" si="64"/>
        <v>6096.3467672056859</v>
      </c>
      <c r="S41" s="267">
        <f t="shared" si="64"/>
        <v>6890.9739284977022</v>
      </c>
      <c r="T41" s="267">
        <f t="shared" si="64"/>
        <v>7949.3300517165189</v>
      </c>
      <c r="U41" s="268">
        <f t="shared" si="64"/>
        <v>8305.5957388249517</v>
      </c>
      <c r="V41" s="138">
        <f>(K41/B41)^(1/9)-1</f>
        <v>4.4812899992548338E-2</v>
      </c>
      <c r="W41" s="174">
        <f>(U41/L41)^(1/9)-1</f>
        <v>0.11715783000551827</v>
      </c>
      <c r="AF41" s="99" t="s">
        <v>314</v>
      </c>
      <c r="AG41" s="103">
        <v>0.06</v>
      </c>
      <c r="AH41" s="103">
        <v>4.3299999999999998E-2</v>
      </c>
      <c r="AI41" s="103">
        <v>2.598E-3</v>
      </c>
      <c r="AJ41"/>
      <c r="AK41"/>
      <c r="AL41"/>
      <c r="AM41"/>
    </row>
    <row r="42" spans="1:39" ht="16.149999999999999" thickBo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V42" s="138"/>
      <c r="W42" s="174"/>
      <c r="AF42" s="99" t="s">
        <v>315</v>
      </c>
      <c r="AG42" s="103">
        <v>0.06</v>
      </c>
      <c r="AH42" s="103">
        <v>5.2699999999999997E-2</v>
      </c>
      <c r="AI42" s="103">
        <v>3.1619999999999999E-3</v>
      </c>
      <c r="AJ42"/>
      <c r="AK42"/>
      <c r="AL42"/>
      <c r="AM42"/>
    </row>
    <row r="43" spans="1:39" ht="16.149999999999999" thickBot="1">
      <c r="B43" s="35"/>
      <c r="C43" s="35"/>
      <c r="D43" s="35"/>
      <c r="E43" s="35"/>
      <c r="F43" s="35"/>
      <c r="G43" s="35"/>
      <c r="H43" s="35"/>
      <c r="J43" s="569" t="s">
        <v>11</v>
      </c>
      <c r="K43" s="570"/>
      <c r="L43" s="277">
        <f>1</f>
        <v>1</v>
      </c>
      <c r="M43" s="277">
        <f>L43+1</f>
        <v>2</v>
      </c>
      <c r="N43" s="277">
        <f t="shared" ref="N43:U43" si="65">M43+1</f>
        <v>3</v>
      </c>
      <c r="O43" s="277">
        <f t="shared" si="65"/>
        <v>4</v>
      </c>
      <c r="P43" s="277">
        <f t="shared" si="65"/>
        <v>5</v>
      </c>
      <c r="Q43" s="277">
        <f t="shared" si="65"/>
        <v>6</v>
      </c>
      <c r="R43" s="277">
        <f t="shared" si="65"/>
        <v>7</v>
      </c>
      <c r="S43" s="277">
        <f t="shared" si="65"/>
        <v>8</v>
      </c>
      <c r="T43" s="277">
        <f t="shared" si="65"/>
        <v>9</v>
      </c>
      <c r="U43" s="278">
        <f t="shared" si="65"/>
        <v>10</v>
      </c>
      <c r="V43" s="138"/>
      <c r="W43" s="174"/>
      <c r="AF43" s="99" t="s">
        <v>316</v>
      </c>
      <c r="AG43" s="103">
        <v>5.8999999999999997E-2</v>
      </c>
      <c r="AH43" s="103">
        <v>5.1299999999999998E-2</v>
      </c>
      <c r="AI43" s="103">
        <v>3.0270000000000002E-3</v>
      </c>
      <c r="AJ43"/>
      <c r="AK43"/>
      <c r="AL43"/>
      <c r="AM43"/>
    </row>
    <row r="44" spans="1:39" ht="16.149999999999999" thickBot="1">
      <c r="B44" s="35"/>
      <c r="C44" s="35"/>
      <c r="D44" s="35"/>
      <c r="E44" s="35"/>
      <c r="F44" s="35"/>
      <c r="G44" s="35"/>
      <c r="H44" s="35"/>
      <c r="J44" s="571" t="s">
        <v>12</v>
      </c>
      <c r="K44" s="572"/>
      <c r="L44" s="279">
        <f>L41/(1+$AC38)^L43</f>
        <v>2850.6152529987803</v>
      </c>
      <c r="M44" s="279">
        <f t="shared" ref="L44:T44" si="66">M41/(1+$AC38)^M43</f>
        <v>3893.2547773906308</v>
      </c>
      <c r="N44" s="279">
        <f t="shared" si="66"/>
        <v>3696.6572280710138</v>
      </c>
      <c r="O44" s="279">
        <f t="shared" si="66"/>
        <v>4122.8843679624624</v>
      </c>
      <c r="P44" s="279">
        <f t="shared" si="66"/>
        <v>3484.8383599263825</v>
      </c>
      <c r="Q44" s="279">
        <f t="shared" si="66"/>
        <v>3691.1504554425451</v>
      </c>
      <c r="R44" s="279">
        <f t="shared" si="66"/>
        <v>3675.0224921433205</v>
      </c>
      <c r="S44" s="279">
        <f t="shared" si="66"/>
        <v>3864.2887082654574</v>
      </c>
      <c r="T44" s="279">
        <f t="shared" si="66"/>
        <v>4146.8479155011064</v>
      </c>
      <c r="U44" s="280">
        <f>U41/(1+U47)^U43</f>
        <v>4030.4820154716622</v>
      </c>
      <c r="V44" s="138"/>
      <c r="W44" s="174"/>
      <c r="AF44"/>
      <c r="AG44" s="568" t="s">
        <v>317</v>
      </c>
      <c r="AH44" s="568"/>
      <c r="AI44" s="104">
        <f>SUM(AI39:AI43)</f>
        <v>4.5116000000000003E-2</v>
      </c>
      <c r="AJ44"/>
      <c r="AK44"/>
      <c r="AL44"/>
      <c r="AM44"/>
    </row>
    <row r="45" spans="1:39" ht="16.149999999999999" thickBot="1">
      <c r="T45" s="62"/>
      <c r="U45" s="62"/>
      <c r="V45" s="62"/>
      <c r="W45" s="138"/>
      <c r="X45" s="174"/>
    </row>
    <row r="46" spans="1:39" ht="16.5" thickTop="1" thickBot="1">
      <c r="S46" s="547" t="s">
        <v>347</v>
      </c>
      <c r="T46" s="186"/>
      <c r="U46" s="178">
        <f>WACC!D12</f>
        <v>3.0450000000000001E-2</v>
      </c>
      <c r="V46" s="138"/>
      <c r="W46" s="174"/>
    </row>
    <row r="47" spans="1:39" ht="15" customHeight="1" thickTop="1" thickBot="1"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S47" s="549" t="s">
        <v>456</v>
      </c>
      <c r="T47" s="187"/>
      <c r="U47" s="179">
        <f>WACC!D13</f>
        <v>7.4982464917481867E-2</v>
      </c>
      <c r="V47" s="138"/>
      <c r="W47" s="174"/>
      <c r="AF47" s="358" t="s">
        <v>329</v>
      </c>
      <c r="AG47" s="359" t="s">
        <v>330</v>
      </c>
      <c r="AH47" s="359" t="s">
        <v>334</v>
      </c>
      <c r="AI47" s="360" t="s">
        <v>340</v>
      </c>
    </row>
    <row r="48" spans="1:39" ht="18.399999999999999" thickTop="1">
      <c r="S48" s="551" t="s">
        <v>13</v>
      </c>
      <c r="T48" s="552"/>
      <c r="U48" s="553">
        <f>U41*(1+U46)/(U47-U46)</f>
        <v>192185.65926972547</v>
      </c>
      <c r="V48" s="138"/>
      <c r="W48" s="174"/>
      <c r="AF48" s="361" t="s">
        <v>331</v>
      </c>
      <c r="AG48" s="356">
        <v>0.6</v>
      </c>
      <c r="AH48" s="357">
        <v>0.02</v>
      </c>
      <c r="AI48" s="362">
        <f>AH48*AG48</f>
        <v>1.2E-2</v>
      </c>
    </row>
    <row r="49" spans="1:35" ht="18.399999999999999" thickBot="1">
      <c r="C49" s="35"/>
      <c r="D49" s="35"/>
      <c r="E49" s="35"/>
      <c r="F49" s="35"/>
      <c r="G49" s="35"/>
      <c r="H49" s="35"/>
      <c r="I49" s="35"/>
      <c r="J49" s="35"/>
      <c r="K49" s="35"/>
      <c r="S49" s="554" t="s">
        <v>348</v>
      </c>
      <c r="T49" s="555"/>
      <c r="U49" s="556">
        <f>U48/(1+U47)^U43</f>
        <v>93262.526575580865</v>
      </c>
      <c r="V49" s="138"/>
      <c r="W49" s="174"/>
      <c r="X49" s="189"/>
      <c r="Y49" s="189"/>
      <c r="AF49" s="361" t="s">
        <v>313</v>
      </c>
      <c r="AG49" s="356">
        <v>0.25</v>
      </c>
      <c r="AH49" s="357">
        <v>0.04</v>
      </c>
      <c r="AI49" s="362">
        <f t="shared" ref="AI49:AI51" si="67">AH49*AG49</f>
        <v>0.01</v>
      </c>
    </row>
    <row r="50" spans="1:35" ht="18.75" thickTop="1" thickBot="1">
      <c r="B50" s="35"/>
      <c r="E50" s="35" t="s">
        <v>324</v>
      </c>
      <c r="H50" s="35" t="s">
        <v>323</v>
      </c>
      <c r="L50" s="35"/>
      <c r="M50" s="35"/>
      <c r="S50" s="370" t="s">
        <v>346</v>
      </c>
      <c r="T50" s="371"/>
      <c r="U50" s="185"/>
      <c r="V50" s="576" t="s">
        <v>350</v>
      </c>
      <c r="W50" s="577"/>
      <c r="X50" s="577"/>
      <c r="Y50" s="577"/>
      <c r="AF50" s="361" t="s">
        <v>332</v>
      </c>
      <c r="AG50" s="356">
        <v>0.1</v>
      </c>
      <c r="AH50" s="357">
        <v>6.3E-2</v>
      </c>
      <c r="AI50" s="362">
        <f t="shared" si="67"/>
        <v>6.3E-3</v>
      </c>
    </row>
    <row r="51" spans="1:35" s="35" customFormat="1" ht="18.75" thickTop="1" thickBot="1">
      <c r="A51" s="34"/>
      <c r="B51" s="34"/>
      <c r="C51" s="34"/>
      <c r="D51" s="34"/>
      <c r="E51" s="161">
        <f>U56</f>
        <v>102.60812995504757</v>
      </c>
      <c r="F51" s="162">
        <f>H51-0.5%</f>
        <v>6.9982464917481862E-2</v>
      </c>
      <c r="G51" s="162">
        <f>H51-0.25%</f>
        <v>7.2482464917481865E-2</v>
      </c>
      <c r="H51" s="163">
        <v>7.4982464917481867E-2</v>
      </c>
      <c r="I51" s="162">
        <f>H51+0.25%</f>
        <v>7.7482464917481869E-2</v>
      </c>
      <c r="J51" s="119">
        <f>H51+0.5%</f>
        <v>7.9982464917481871E-2</v>
      </c>
      <c r="K51" s="34"/>
      <c r="L51" s="34"/>
      <c r="M51" s="34"/>
      <c r="N51" s="34"/>
      <c r="O51" s="34"/>
      <c r="P51" s="34"/>
      <c r="Q51" s="34"/>
      <c r="R51" s="34"/>
      <c r="S51" s="574" t="s">
        <v>14</v>
      </c>
      <c r="T51" s="575"/>
      <c r="U51" s="175">
        <f>SUM(L44:U44,U49)</f>
        <v>130718.56814875423</v>
      </c>
      <c r="V51" s="138"/>
      <c r="W51" s="34"/>
      <c r="AF51" s="361" t="s">
        <v>333</v>
      </c>
      <c r="AG51" s="356">
        <v>0.05</v>
      </c>
      <c r="AH51" s="357">
        <v>4.2999999999999997E-2</v>
      </c>
      <c r="AI51" s="362">
        <f t="shared" si="67"/>
        <v>2.15E-3</v>
      </c>
    </row>
    <row r="52" spans="1:35" ht="18.75" thickTop="1" thickBot="1">
      <c r="E52" s="164">
        <f>E54-0.5%</f>
        <v>2.545E-2</v>
      </c>
      <c r="F52" s="118">
        <f t="dataTable" ref="F52:J56" dt2D="1" dtr="1" r1="U47" r2="U46" ca="1"/>
        <v>106.26528167893927</v>
      </c>
      <c r="G52" s="118">
        <v>99.782849000714776</v>
      </c>
      <c r="H52" s="118">
        <v>93.993098932434847</v>
      </c>
      <c r="I52" s="118">
        <v>88.795265220210581</v>
      </c>
      <c r="J52" s="165">
        <v>84.107084047532297</v>
      </c>
      <c r="S52" s="584" t="s">
        <v>15</v>
      </c>
      <c r="T52" s="585"/>
      <c r="U52" s="550">
        <f>'Balance Sheet'!K8</f>
        <v>3286.2</v>
      </c>
      <c r="V52" s="138"/>
      <c r="W52" s="35"/>
      <c r="AF52" s="363"/>
      <c r="AG52" s="573" t="s">
        <v>335</v>
      </c>
      <c r="AH52" s="573"/>
      <c r="AI52" s="364">
        <f>SUM(AI48:AI51)</f>
        <v>3.0449999999999998E-2</v>
      </c>
    </row>
    <row r="53" spans="1:35" ht="18.399999999999999" thickTop="1">
      <c r="E53" s="166">
        <f>E54-0.25%</f>
        <v>2.7950000000000003E-2</v>
      </c>
      <c r="F53" s="167">
        <v>111.55892174244356</v>
      </c>
      <c r="G53" s="167">
        <v>104.41539424476824</v>
      </c>
      <c r="H53" s="167">
        <v>98.07164943420662</v>
      </c>
      <c r="I53" s="167">
        <v>92.405618539111984</v>
      </c>
      <c r="J53" s="120">
        <v>87.31871829245074</v>
      </c>
      <c r="S53" s="584" t="s">
        <v>16</v>
      </c>
      <c r="T53" s="585"/>
      <c r="U53" s="550">
        <f>'Balance Sheet'!K58+'Balance Sheet'!K46</f>
        <v>17031.5</v>
      </c>
    </row>
    <row r="54" spans="1:35" ht="18">
      <c r="D54" s="375" t="s">
        <v>347</v>
      </c>
      <c r="E54" s="168">
        <v>3.0450000000000001E-2</v>
      </c>
      <c r="F54" s="167">
        <v>117.5220925415792</v>
      </c>
      <c r="G54" s="167">
        <v>109.59900700926671</v>
      </c>
      <c r="H54" s="167">
        <v>102.60812995504757</v>
      </c>
      <c r="I54" s="167">
        <v>96.399786880810524</v>
      </c>
      <c r="J54" s="120">
        <v>90.854547411404724</v>
      </c>
      <c r="S54" s="582" t="s">
        <v>17</v>
      </c>
      <c r="T54" s="583"/>
      <c r="U54" s="176">
        <f>U51+U52-U53</f>
        <v>116973.26814875423</v>
      </c>
    </row>
    <row r="55" spans="1:35" ht="18">
      <c r="E55" s="166">
        <f>E54+0.25%</f>
        <v>3.295E-2</v>
      </c>
      <c r="F55" s="167">
        <v>124.29039078934981</v>
      </c>
      <c r="G55" s="167">
        <v>115.43823444076335</v>
      </c>
      <c r="H55" s="167">
        <v>107.68425055287982</v>
      </c>
      <c r="I55" s="167">
        <v>100.84241101190891</v>
      </c>
      <c r="J55" s="120">
        <v>94.766268919281714</v>
      </c>
      <c r="S55" s="372" t="s">
        <v>18</v>
      </c>
      <c r="T55" s="373"/>
      <c r="U55" s="557">
        <v>1.1399999999999999</v>
      </c>
    </row>
    <row r="56" spans="1:35" ht="15.75" customHeight="1" thickBot="1">
      <c r="E56" s="169">
        <f>E54+0.5%</f>
        <v>3.5450000000000002E-2</v>
      </c>
      <c r="F56" s="170">
        <v>132.03867964363289</v>
      </c>
      <c r="G56" s="170">
        <v>122.06585490044593</v>
      </c>
      <c r="H56" s="170">
        <v>113.40239038837251</v>
      </c>
      <c r="I56" s="170">
        <v>105.81351047033112</v>
      </c>
      <c r="J56" s="171">
        <v>99.117189280750708</v>
      </c>
      <c r="S56" s="548" t="s">
        <v>455</v>
      </c>
      <c r="T56" s="374"/>
      <c r="U56" s="177">
        <f>U54/(U55*1000)</f>
        <v>102.60812995504757</v>
      </c>
      <c r="X56" s="188"/>
      <c r="Y56" s="188"/>
    </row>
    <row r="57" spans="1:35" ht="16.5" thickTop="1" thickBot="1">
      <c r="S57" s="368"/>
      <c r="T57" s="369"/>
      <c r="U57" s="365"/>
      <c r="V57" s="565" t="s">
        <v>349</v>
      </c>
      <c r="W57" s="566"/>
      <c r="X57" s="566"/>
      <c r="Y57" s="566"/>
    </row>
    <row r="58" spans="1:35" ht="18.399999999999999" thickTop="1">
      <c r="S58" s="578" t="s">
        <v>387</v>
      </c>
      <c r="T58" s="579"/>
      <c r="U58" s="366">
        <v>91.63</v>
      </c>
      <c r="V58" s="470"/>
      <c r="W58" s="470"/>
      <c r="X58" s="470"/>
      <c r="Y58" s="470"/>
    </row>
    <row r="59" spans="1:35" ht="16.149999999999999" thickBot="1">
      <c r="D59" s="167"/>
      <c r="E59" s="172"/>
      <c r="F59" s="172"/>
      <c r="G59" s="173"/>
      <c r="H59" s="172"/>
      <c r="I59" s="172"/>
      <c r="S59" s="580" t="s">
        <v>5</v>
      </c>
      <c r="T59" s="581"/>
      <c r="U59" s="367">
        <f>U56/U58-1</f>
        <v>0.11980934142799926</v>
      </c>
    </row>
    <row r="60" spans="1:35" ht="16.149999999999999" thickTop="1">
      <c r="D60" s="172"/>
      <c r="E60" s="167"/>
      <c r="F60" s="167"/>
      <c r="G60" s="167"/>
      <c r="H60" s="167"/>
      <c r="I60" s="167"/>
      <c r="V60" s="352"/>
      <c r="W60" s="352"/>
      <c r="X60" s="352"/>
      <c r="Y60" s="352"/>
    </row>
    <row r="61" spans="1:35" ht="16.149999999999999" thickBot="1">
      <c r="E61" s="35" t="s">
        <v>325</v>
      </c>
      <c r="H61" s="35" t="s">
        <v>323</v>
      </c>
      <c r="V61" s="471"/>
      <c r="W61" s="471"/>
      <c r="X61" s="471"/>
      <c r="Y61" s="471"/>
    </row>
    <row r="62" spans="1:35" ht="16.149999999999999" thickBot="1">
      <c r="E62" s="316">
        <f>U51</f>
        <v>130718.56814875423</v>
      </c>
      <c r="F62" s="317">
        <f>G62-0.25%</f>
        <v>6.9982464917481862E-2</v>
      </c>
      <c r="G62" s="317">
        <f>H62-0.25%</f>
        <v>7.2482464917481865E-2</v>
      </c>
      <c r="H62" s="318">
        <v>7.4982464917481867E-2</v>
      </c>
      <c r="I62" s="317">
        <f>H62+0.25%</f>
        <v>7.7482464917481869E-2</v>
      </c>
      <c r="J62" s="319">
        <f>I62+0.25%</f>
        <v>7.9982464917481871E-2</v>
      </c>
    </row>
    <row r="63" spans="1:35" ht="16.149999999999999" thickTop="1">
      <c r="E63" s="320">
        <f>E64-0.25%</f>
        <v>2.5450000000000004E-2</v>
      </c>
      <c r="F63" s="95">
        <f t="dataTable" ref="F63:J67" dt2D="1" dtr="1" r1="U47" r2="U46"/>
        <v>134887.72111399076</v>
      </c>
      <c r="G63" s="95">
        <v>127497.74786081485</v>
      </c>
      <c r="H63" s="95">
        <v>120897.43278297572</v>
      </c>
      <c r="I63" s="88">
        <v>114971.90235104006</v>
      </c>
      <c r="J63" s="321">
        <v>109627.37581418682</v>
      </c>
    </row>
    <row r="64" spans="1:35">
      <c r="E64" s="320">
        <f>E65-0.25%</f>
        <v>2.7950000000000003E-2</v>
      </c>
      <c r="F64" s="95">
        <v>140922.47078638565</v>
      </c>
      <c r="G64" s="95">
        <v>132778.84943903578</v>
      </c>
      <c r="H64" s="95">
        <v>125546.98035499555</v>
      </c>
      <c r="I64" s="88">
        <v>119087.70513458767</v>
      </c>
      <c r="J64" s="321">
        <v>113288.63885339384</v>
      </c>
      <c r="AC64" s="112"/>
    </row>
    <row r="65" spans="4:29">
      <c r="D65" s="35" t="s">
        <v>328</v>
      </c>
      <c r="E65" s="322">
        <v>3.0450000000000001E-2</v>
      </c>
      <c r="F65" s="95">
        <v>147720.48549740028</v>
      </c>
      <c r="G65" s="95">
        <v>138688.16799056405</v>
      </c>
      <c r="H65" s="95">
        <v>130718.56814875423</v>
      </c>
      <c r="I65" s="88">
        <v>123641.057044124</v>
      </c>
      <c r="J65" s="321">
        <v>117319.48404900139</v>
      </c>
      <c r="AC65" s="112"/>
    </row>
    <row r="66" spans="4:29">
      <c r="E66" s="320">
        <f>E65+0.25%</f>
        <v>3.295E-2</v>
      </c>
      <c r="F66" s="95">
        <v>155436.34549985878</v>
      </c>
      <c r="G66" s="95">
        <v>145344.88726247021</v>
      </c>
      <c r="H66" s="95">
        <v>136505.34563028297</v>
      </c>
      <c r="I66" s="88">
        <v>128705.64855357616</v>
      </c>
      <c r="J66" s="321">
        <v>121778.84656798115</v>
      </c>
    </row>
    <row r="67" spans="4:29" ht="16.149999999999999" thickBot="1">
      <c r="E67" s="323">
        <f>E66+0.25%</f>
        <v>3.5450000000000002E-2</v>
      </c>
      <c r="F67" s="324">
        <v>164269.39479374149</v>
      </c>
      <c r="G67" s="324">
        <v>152900.37458650835</v>
      </c>
      <c r="H67" s="324">
        <v>143024.02504274464</v>
      </c>
      <c r="I67" s="325">
        <v>134372.70193617747</v>
      </c>
      <c r="J67" s="326">
        <v>126738.89578005581</v>
      </c>
    </row>
    <row r="68" spans="4:29">
      <c r="E68" s="121"/>
      <c r="F68" s="95"/>
      <c r="G68" s="95"/>
      <c r="H68" s="95"/>
      <c r="I68" s="95"/>
      <c r="J68" s="95"/>
      <c r="M68" s="95"/>
    </row>
    <row r="71" spans="4:29">
      <c r="Z71" s="95"/>
    </row>
    <row r="72" spans="4:29">
      <c r="Z72" s="95"/>
    </row>
    <row r="73" spans="4:29">
      <c r="Z73" s="95"/>
    </row>
    <row r="74" spans="4:29">
      <c r="Z74" s="95"/>
    </row>
  </sheetData>
  <mergeCells count="14">
    <mergeCell ref="S58:T58"/>
    <mergeCell ref="S59:T59"/>
    <mergeCell ref="S54:T54"/>
    <mergeCell ref="S52:T52"/>
    <mergeCell ref="S53:T53"/>
    <mergeCell ref="V57:Y57"/>
    <mergeCell ref="E1:J1"/>
    <mergeCell ref="AA26:AC26"/>
    <mergeCell ref="AG44:AH44"/>
    <mergeCell ref="J43:K43"/>
    <mergeCell ref="J44:K44"/>
    <mergeCell ref="AG52:AH52"/>
    <mergeCell ref="S51:T51"/>
    <mergeCell ref="V50:Y50"/>
  </mergeCells>
  <conditionalFormatting sqref="E60:I6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2:J5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3:J6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71:Z74 F68:J6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5DD8-3119-4C66-BC92-E5AB9CA3929B}">
  <dimension ref="B1:U90"/>
  <sheetViews>
    <sheetView zoomScale="49" workbookViewId="0">
      <selection activeCell="T13" sqref="T13"/>
    </sheetView>
  </sheetViews>
  <sheetFormatPr defaultRowHeight="14.25"/>
  <cols>
    <col min="2" max="2" width="29.796875" bestFit="1" customWidth="1"/>
    <col min="12" max="12" width="58.19921875" customWidth="1"/>
    <col min="13" max="14" width="13.33203125" bestFit="1" customWidth="1"/>
    <col min="18" max="18" width="28.73046875" bestFit="1" customWidth="1"/>
    <col min="19" max="19" width="29.796875" bestFit="1" customWidth="1"/>
    <col min="20" max="20" width="25" bestFit="1" customWidth="1"/>
    <col min="21" max="21" width="32.796875" bestFit="1" customWidth="1"/>
    <col min="24" max="24" width="29.73046875" customWidth="1"/>
    <col min="25" max="25" width="8.33203125" customWidth="1"/>
    <col min="26" max="26" width="8.53125" customWidth="1"/>
  </cols>
  <sheetData>
    <row r="1" spans="2:21" ht="21" thickBot="1">
      <c r="L1" s="506" t="s">
        <v>405</v>
      </c>
      <c r="M1" s="506"/>
      <c r="N1" s="506"/>
      <c r="Q1" s="507" t="s">
        <v>406</v>
      </c>
      <c r="R1" s="507" t="s">
        <v>407</v>
      </c>
      <c r="S1" s="507" t="s">
        <v>408</v>
      </c>
      <c r="T1" s="507" t="s">
        <v>409</v>
      </c>
      <c r="U1" s="507" t="s">
        <v>410</v>
      </c>
    </row>
    <row r="2" spans="2:21">
      <c r="B2" s="493" t="s">
        <v>412</v>
      </c>
      <c r="C2" s="494">
        <v>2023</v>
      </c>
      <c r="D2" s="495">
        <v>2024</v>
      </c>
      <c r="L2" s="508" t="s">
        <v>20</v>
      </c>
      <c r="M2" s="509" t="s">
        <v>29</v>
      </c>
      <c r="N2" s="509" t="s">
        <v>30</v>
      </c>
    </row>
    <row r="3" spans="2:21">
      <c r="B3" s="496" t="s">
        <v>396</v>
      </c>
      <c r="C3" s="2">
        <f>M4</f>
        <v>25.68</v>
      </c>
      <c r="D3" s="515">
        <f>N4</f>
        <v>28.68</v>
      </c>
      <c r="L3" s="510" t="s">
        <v>31</v>
      </c>
      <c r="M3" s="511">
        <v>44936</v>
      </c>
      <c r="N3" s="512" t="s">
        <v>36</v>
      </c>
    </row>
    <row r="4" spans="2:21">
      <c r="B4" s="499" t="s">
        <v>397</v>
      </c>
      <c r="C4" s="88">
        <f>AVERAGE(C8:C13)</f>
        <v>42.216666666666669</v>
      </c>
      <c r="D4" s="321">
        <f>AVERAGE(D8:D13)</f>
        <v>38.583333333333336</v>
      </c>
      <c r="L4" s="513" t="s">
        <v>411</v>
      </c>
      <c r="M4" s="513">
        <v>25.68</v>
      </c>
      <c r="N4" s="513">
        <v>28.68</v>
      </c>
    </row>
    <row r="5" spans="2:21">
      <c r="B5" s="500" t="s">
        <v>398</v>
      </c>
      <c r="C5" s="501">
        <f>(C3-C4)/C4</f>
        <v>-0.39170943545203318</v>
      </c>
      <c r="D5" s="502">
        <f>(D3-D4)/D4</f>
        <v>-0.2566738660907128</v>
      </c>
      <c r="L5" s="513" t="s">
        <v>409</v>
      </c>
      <c r="M5" s="514">
        <f>M11/M8</f>
        <v>21.324947196293518</v>
      </c>
      <c r="N5" s="514">
        <f>N11/N8</f>
        <v>24.514790711433221</v>
      </c>
    </row>
    <row r="6" spans="2:21">
      <c r="B6" s="496"/>
      <c r="C6" s="518"/>
      <c r="D6" s="519"/>
      <c r="L6" s="513" t="s">
        <v>410</v>
      </c>
      <c r="M6" s="514">
        <f>M11/M10</f>
        <v>3.479983655588788</v>
      </c>
      <c r="N6" s="514">
        <f>N11/N10</f>
        <v>3.6652716426822058</v>
      </c>
    </row>
    <row r="7" spans="2:21">
      <c r="B7" s="496"/>
      <c r="C7" s="518"/>
      <c r="D7" s="519"/>
      <c r="L7" s="513" t="s">
        <v>408</v>
      </c>
      <c r="M7" s="516">
        <f>M11/M9</f>
        <v>14.031954360520505</v>
      </c>
      <c r="N7" s="514">
        <f>N11/N9</f>
        <v>15.197725996309329</v>
      </c>
    </row>
    <row r="8" spans="2:21">
      <c r="B8" s="499" t="s">
        <v>399</v>
      </c>
      <c r="C8" s="88">
        <f>M16</f>
        <v>25.1</v>
      </c>
      <c r="D8" s="321">
        <f>N16</f>
        <v>24.8</v>
      </c>
      <c r="L8" s="13" t="s">
        <v>6</v>
      </c>
      <c r="M8" s="517">
        <v>5870.8</v>
      </c>
      <c r="N8" s="517">
        <v>5408.8</v>
      </c>
    </row>
    <row r="9" spans="2:21">
      <c r="B9" s="499" t="s">
        <v>400</v>
      </c>
      <c r="C9" s="88">
        <f>M29</f>
        <v>50.1</v>
      </c>
      <c r="D9" s="321">
        <f>N29</f>
        <v>53.3</v>
      </c>
      <c r="L9" s="13" t="s">
        <v>170</v>
      </c>
      <c r="M9" s="517">
        <v>8922.1</v>
      </c>
      <c r="N9" s="517">
        <v>8724.7000000000007</v>
      </c>
      <c r="U9" s="520"/>
    </row>
    <row r="10" spans="2:21">
      <c r="B10" s="499" t="s">
        <v>401</v>
      </c>
      <c r="C10" s="88">
        <f>M42</f>
        <v>25.3</v>
      </c>
      <c r="D10" s="321">
        <f>N42</f>
        <v>24.9</v>
      </c>
      <c r="L10" s="13" t="s">
        <v>108</v>
      </c>
      <c r="M10" s="517">
        <v>35975.599999999999</v>
      </c>
      <c r="N10" s="517">
        <v>36176.199999999997</v>
      </c>
    </row>
    <row r="11" spans="2:21">
      <c r="B11" s="499" t="s">
        <v>402</v>
      </c>
      <c r="C11" s="88">
        <f>M55</f>
        <v>29.1</v>
      </c>
      <c r="D11" s="321">
        <f>N55</f>
        <v>31.4</v>
      </c>
      <c r="L11" s="13" t="s">
        <v>413</v>
      </c>
      <c r="M11" s="517">
        <v>125194.5</v>
      </c>
      <c r="N11" s="517">
        <v>132595.6</v>
      </c>
    </row>
    <row r="12" spans="2:21">
      <c r="B12" s="499" t="s">
        <v>403</v>
      </c>
      <c r="C12" s="88">
        <f>M69</f>
        <v>20.399999999999999</v>
      </c>
      <c r="D12" s="321">
        <f>N69</f>
        <v>20.5</v>
      </c>
      <c r="L12" s="521"/>
      <c r="M12" s="522"/>
      <c r="N12" s="522"/>
    </row>
    <row r="13" spans="2:21" ht="20.65">
      <c r="B13" s="499" t="s">
        <v>404</v>
      </c>
      <c r="C13" s="88">
        <f>M81</f>
        <v>103.3</v>
      </c>
      <c r="D13" s="321">
        <f>N81</f>
        <v>76.599999999999994</v>
      </c>
      <c r="L13" s="506" t="s">
        <v>414</v>
      </c>
      <c r="M13" s="506"/>
      <c r="N13" s="506"/>
    </row>
    <row r="14" spans="2:21" ht="14.65" thickBot="1">
      <c r="B14" s="505"/>
      <c r="C14" s="325"/>
      <c r="D14" s="326"/>
      <c r="L14" s="508" t="s">
        <v>20</v>
      </c>
      <c r="M14" s="509" t="s">
        <v>29</v>
      </c>
      <c r="N14" s="509" t="s">
        <v>30</v>
      </c>
    </row>
    <row r="15" spans="2:21">
      <c r="L15" s="510" t="s">
        <v>31</v>
      </c>
      <c r="M15" s="512" t="s">
        <v>415</v>
      </c>
      <c r="N15" s="512" t="s">
        <v>416</v>
      </c>
    </row>
    <row r="16" spans="2:21" ht="14.65" thickBot="1">
      <c r="L16" s="523" t="s">
        <v>411</v>
      </c>
      <c r="M16" s="524">
        <v>25.1</v>
      </c>
      <c r="N16" s="524">
        <v>24.8</v>
      </c>
    </row>
    <row r="17" spans="2:14">
      <c r="B17" s="493" t="s">
        <v>417</v>
      </c>
      <c r="C17" s="494">
        <v>2023</v>
      </c>
      <c r="D17" s="495">
        <v>2024</v>
      </c>
      <c r="L17" s="513" t="s">
        <v>409</v>
      </c>
      <c r="M17" s="524">
        <f>M23/M20</f>
        <v>22.63156087131977</v>
      </c>
      <c r="N17" s="524">
        <f>N23/N20</f>
        <v>22.080251024590165</v>
      </c>
    </row>
    <row r="18" spans="2:14">
      <c r="B18" s="496" t="s">
        <v>396</v>
      </c>
      <c r="C18" s="497">
        <f>M5</f>
        <v>21.324947196293518</v>
      </c>
      <c r="D18" s="498">
        <f>N5</f>
        <v>24.514790711433221</v>
      </c>
      <c r="L18" s="513" t="s">
        <v>410</v>
      </c>
      <c r="M18" s="524">
        <f>M23/M22</f>
        <v>10.339142611704068</v>
      </c>
      <c r="N18" s="524">
        <f>N23/N22</f>
        <v>9.9770023148148148</v>
      </c>
    </row>
    <row r="19" spans="2:14">
      <c r="B19" s="499" t="s">
        <v>397</v>
      </c>
      <c r="C19" s="88">
        <f>AVERAGE(C23:C28)</f>
        <v>33.119748470474796</v>
      </c>
      <c r="D19" s="321">
        <f>AVERAGE(D23:D28)</f>
        <v>29.76868020814705</v>
      </c>
      <c r="L19" s="513" t="s">
        <v>408</v>
      </c>
      <c r="M19" s="516">
        <f>M23/M21</f>
        <v>17.378487789440371</v>
      </c>
      <c r="N19" s="514">
        <f>N23/N21</f>
        <v>16.802280553570267</v>
      </c>
    </row>
    <row r="20" spans="2:14">
      <c r="B20" s="500" t="s">
        <v>398</v>
      </c>
      <c r="C20" s="501">
        <f>(C18-C19)/C19</f>
        <v>-0.35612593147245575</v>
      </c>
      <c r="D20" s="502">
        <f>(D18-D19)/D19</f>
        <v>-0.17649050814405778</v>
      </c>
      <c r="L20" s="13" t="s">
        <v>6</v>
      </c>
      <c r="M20" s="517">
        <v>11646.7</v>
      </c>
      <c r="N20" s="517">
        <v>11712</v>
      </c>
    </row>
    <row r="21" spans="2:14">
      <c r="B21" s="496"/>
      <c r="C21" s="518"/>
      <c r="D21" s="519"/>
      <c r="L21" s="13" t="s">
        <v>170</v>
      </c>
      <c r="M21" s="517">
        <v>15167.2</v>
      </c>
      <c r="N21" s="517">
        <v>15391</v>
      </c>
    </row>
    <row r="22" spans="2:14">
      <c r="B22" s="496"/>
      <c r="C22" s="518"/>
      <c r="D22" s="519"/>
      <c r="L22" s="13" t="s">
        <v>108</v>
      </c>
      <c r="M22" s="517">
        <v>25493.7</v>
      </c>
      <c r="N22" s="517">
        <v>25920</v>
      </c>
    </row>
    <row r="23" spans="2:14">
      <c r="B23" s="499" t="s">
        <v>399</v>
      </c>
      <c r="C23" s="88">
        <f>M17</f>
        <v>22.63156087131977</v>
      </c>
      <c r="D23" s="321">
        <f>N17</f>
        <v>22.080251024590165</v>
      </c>
      <c r="L23" s="13" t="s">
        <v>413</v>
      </c>
      <c r="M23" s="517">
        <v>263583</v>
      </c>
      <c r="N23" s="517">
        <v>258603.9</v>
      </c>
    </row>
    <row r="24" spans="2:14">
      <c r="B24" s="499" t="s">
        <v>400</v>
      </c>
      <c r="C24" s="88">
        <f>M30</f>
        <v>42.059956348696879</v>
      </c>
      <c r="D24" s="321">
        <f>N30</f>
        <v>44.503522412983358</v>
      </c>
      <c r="L24" s="507"/>
      <c r="M24" s="507"/>
      <c r="N24" s="507"/>
    </row>
    <row r="25" spans="2:14">
      <c r="B25" s="499" t="s">
        <v>401</v>
      </c>
      <c r="C25" s="88">
        <f>M43</f>
        <v>20.769672131147541</v>
      </c>
      <c r="D25" s="321">
        <f>N43</f>
        <v>20.437078651685393</v>
      </c>
      <c r="L25" s="507"/>
      <c r="M25" s="507"/>
      <c r="N25" s="507"/>
    </row>
    <row r="26" spans="2:14" ht="20.65">
      <c r="B26" s="499" t="s">
        <v>402</v>
      </c>
      <c r="C26" s="88">
        <f>M56</f>
        <v>24.301908957415566</v>
      </c>
      <c r="D26" s="321">
        <f>N56</f>
        <v>18.70127659574468</v>
      </c>
      <c r="L26" s="4" t="s">
        <v>418</v>
      </c>
      <c r="M26" s="4"/>
      <c r="N26" s="4"/>
    </row>
    <row r="27" spans="2:14">
      <c r="B27" s="499" t="s">
        <v>403</v>
      </c>
      <c r="C27" s="88">
        <f>M70</f>
        <v>16.223598553345386</v>
      </c>
      <c r="D27" s="321">
        <f>N70</f>
        <v>16.809638554216868</v>
      </c>
      <c r="L27" s="6" t="s">
        <v>20</v>
      </c>
      <c r="M27" s="7" t="s">
        <v>29</v>
      </c>
      <c r="N27" s="7" t="s">
        <v>30</v>
      </c>
    </row>
    <row r="28" spans="2:14">
      <c r="B28" s="499" t="s">
        <v>404</v>
      </c>
      <c r="C28" s="88">
        <f>M82</f>
        <v>72.731793960923625</v>
      </c>
      <c r="D28" s="321">
        <f>N82</f>
        <v>56.080314009661834</v>
      </c>
      <c r="L28" s="8" t="s">
        <v>31</v>
      </c>
      <c r="M28" s="9" t="s">
        <v>415</v>
      </c>
      <c r="N28" s="9" t="s">
        <v>416</v>
      </c>
    </row>
    <row r="29" spans="2:14" ht="14.65" thickBot="1">
      <c r="B29" s="527"/>
      <c r="C29" s="325"/>
      <c r="D29" s="326"/>
      <c r="L29" s="525" t="s">
        <v>411</v>
      </c>
      <c r="M29" s="526">
        <v>50.1</v>
      </c>
      <c r="N29" s="526">
        <v>53.3</v>
      </c>
    </row>
    <row r="30" spans="2:14">
      <c r="L30" s="513" t="s">
        <v>409</v>
      </c>
      <c r="M30" s="524">
        <f>M36/M33</f>
        <v>42.059956348696879</v>
      </c>
      <c r="N30" s="524">
        <f>N36/N33</f>
        <v>44.503522412983358</v>
      </c>
    </row>
    <row r="31" spans="2:14" ht="14.65" thickBot="1">
      <c r="L31" s="513" t="s">
        <v>410</v>
      </c>
      <c r="M31" s="524">
        <f>M36/M35</f>
        <v>6.6373232302767535</v>
      </c>
      <c r="N31" s="524">
        <f>N36/N35</f>
        <v>7.5378163144450641</v>
      </c>
    </row>
    <row r="32" spans="2:14">
      <c r="B32" s="493" t="s">
        <v>419</v>
      </c>
      <c r="C32" s="494">
        <v>2023</v>
      </c>
      <c r="D32" s="495">
        <v>2024</v>
      </c>
      <c r="L32" s="513" t="s">
        <v>408</v>
      </c>
      <c r="M32" s="516">
        <f>M36/M34</f>
        <v>28.378811503811502</v>
      </c>
      <c r="N32" s="514">
        <f>N36/N34</f>
        <v>31.188597132826214</v>
      </c>
    </row>
    <row r="33" spans="2:14">
      <c r="B33" s="496" t="s">
        <v>396</v>
      </c>
      <c r="C33" s="497">
        <f>M6</f>
        <v>3.479983655588788</v>
      </c>
      <c r="D33" s="498">
        <f>N6</f>
        <v>3.6652716426822058</v>
      </c>
      <c r="L33" s="13" t="s">
        <v>6</v>
      </c>
      <c r="M33" s="517">
        <v>1557.8</v>
      </c>
      <c r="N33" s="517">
        <v>1916.3</v>
      </c>
    </row>
    <row r="34" spans="2:14">
      <c r="B34" s="499" t="s">
        <v>397</v>
      </c>
      <c r="C34" s="88">
        <f>AVERAGE(C38:C43)</f>
        <v>8.3808125061348928</v>
      </c>
      <c r="D34" s="321">
        <f>AVERAGE(D38:D43)</f>
        <v>7.6361130776325163</v>
      </c>
      <c r="L34" s="13" t="s">
        <v>170</v>
      </c>
      <c r="M34" s="517">
        <v>2308.8000000000002</v>
      </c>
      <c r="N34" s="517">
        <v>2734.4</v>
      </c>
    </row>
    <row r="35" spans="2:14">
      <c r="B35" s="500" t="s">
        <v>398</v>
      </c>
      <c r="C35" s="501">
        <f>(C33-C34)/C34</f>
        <v>-0.58476774739425541</v>
      </c>
      <c r="D35" s="502">
        <f>(D33-D34)/D34</f>
        <v>-0.52000820241669621</v>
      </c>
      <c r="L35" s="13" t="s">
        <v>108</v>
      </c>
      <c r="M35" s="517">
        <v>9871.6</v>
      </c>
      <c r="N35" s="517">
        <v>11313.9</v>
      </c>
    </row>
    <row r="36" spans="2:14">
      <c r="B36" s="499"/>
      <c r="C36" s="528"/>
      <c r="D36" s="529"/>
      <c r="L36" s="13" t="s">
        <v>413</v>
      </c>
      <c r="M36" s="517">
        <v>65521</v>
      </c>
      <c r="N36" s="517">
        <v>85282.1</v>
      </c>
    </row>
    <row r="37" spans="2:14">
      <c r="B37" s="499"/>
      <c r="C37" s="528"/>
      <c r="D37" s="529"/>
      <c r="L37" s="507"/>
      <c r="M37" s="507"/>
      <c r="N37" s="507"/>
    </row>
    <row r="38" spans="2:14">
      <c r="B38" s="499" t="s">
        <v>399</v>
      </c>
      <c r="C38" s="88">
        <f>M18</f>
        <v>10.339142611704068</v>
      </c>
      <c r="D38" s="321">
        <f>N18</f>
        <v>9.9770023148148148</v>
      </c>
      <c r="L38" s="507"/>
      <c r="M38" s="507"/>
      <c r="N38" s="507"/>
    </row>
    <row r="39" spans="2:14" ht="20.65">
      <c r="B39" s="499" t="s">
        <v>400</v>
      </c>
      <c r="C39" s="88">
        <f>M31</f>
        <v>6.6373232302767535</v>
      </c>
      <c r="D39" s="321">
        <f>N31</f>
        <v>7.5378163144450641</v>
      </c>
      <c r="L39" s="4" t="s">
        <v>420</v>
      </c>
      <c r="M39" s="4"/>
      <c r="N39" s="4"/>
    </row>
    <row r="40" spans="2:14">
      <c r="B40" s="499" t="s">
        <v>401</v>
      </c>
      <c r="C40" s="88">
        <f>M44</f>
        <v>6.8038581119276422</v>
      </c>
      <c r="D40" s="321">
        <f>N44</f>
        <v>6.5055371572393694</v>
      </c>
      <c r="L40" s="6" t="s">
        <v>20</v>
      </c>
      <c r="M40" s="7" t="s">
        <v>29</v>
      </c>
      <c r="N40" s="7" t="s">
        <v>30</v>
      </c>
    </row>
    <row r="41" spans="2:14">
      <c r="B41" s="499" t="s">
        <v>402</v>
      </c>
      <c r="C41" s="88">
        <f>M57</f>
        <v>7.0704642551979493</v>
      </c>
      <c r="D41" s="321">
        <f>N57</f>
        <v>5.2281703545086842</v>
      </c>
      <c r="L41" s="8" t="s">
        <v>31</v>
      </c>
      <c r="M41" s="9" t="s">
        <v>415</v>
      </c>
      <c r="N41" s="9" t="s">
        <v>416</v>
      </c>
    </row>
    <row r="42" spans="2:14">
      <c r="B42" s="499" t="s">
        <v>403</v>
      </c>
      <c r="C42" s="88">
        <f>M71</f>
        <v>1.6344780470030971</v>
      </c>
      <c r="D42" s="321">
        <f>N71</f>
        <v>1.7281075820578606</v>
      </c>
      <c r="L42" s="525" t="s">
        <v>411</v>
      </c>
      <c r="M42" s="526">
        <v>25.3</v>
      </c>
      <c r="N42" s="526">
        <v>24.9</v>
      </c>
    </row>
    <row r="43" spans="2:14">
      <c r="B43" s="499" t="s">
        <v>404</v>
      </c>
      <c r="C43" s="88">
        <f>M83</f>
        <v>17.799608780699849</v>
      </c>
      <c r="D43" s="321">
        <f>N83</f>
        <v>14.840044742729306</v>
      </c>
      <c r="L43" s="513" t="s">
        <v>409</v>
      </c>
      <c r="M43" s="524">
        <f>M49/M46</f>
        <v>20.769672131147541</v>
      </c>
      <c r="N43" s="524">
        <f>N49/N46</f>
        <v>20.437078651685393</v>
      </c>
    </row>
    <row r="44" spans="2:14" ht="14.65" thickBot="1">
      <c r="B44" s="505"/>
      <c r="C44" s="325"/>
      <c r="D44" s="326"/>
      <c r="L44" s="513" t="s">
        <v>410</v>
      </c>
      <c r="M44" s="524">
        <f>M49/M48</f>
        <v>6.8038581119276422</v>
      </c>
      <c r="N44" s="524">
        <f>N49/N48</f>
        <v>6.5055371572393694</v>
      </c>
    </row>
    <row r="45" spans="2:14" ht="14.65" thickBot="1">
      <c r="L45" s="513" t="s">
        <v>408</v>
      </c>
      <c r="M45" s="516">
        <f>M49/M47</f>
        <v>18.880039215686274</v>
      </c>
      <c r="N45" s="514">
        <f>N49/N47</f>
        <v>18.427879924953096</v>
      </c>
    </row>
    <row r="46" spans="2:14">
      <c r="B46" s="493" t="s">
        <v>395</v>
      </c>
      <c r="C46" s="494">
        <v>2023</v>
      </c>
      <c r="D46" s="495">
        <v>2024</v>
      </c>
      <c r="L46" s="13" t="s">
        <v>6</v>
      </c>
      <c r="M46" s="517">
        <v>2318</v>
      </c>
      <c r="N46" s="517">
        <v>2403</v>
      </c>
    </row>
    <row r="47" spans="2:14">
      <c r="B47" s="496" t="s">
        <v>396</v>
      </c>
      <c r="C47" s="497">
        <f>M7</f>
        <v>14.031954360520505</v>
      </c>
      <c r="D47" s="498">
        <f>N7</f>
        <v>15.197725996309329</v>
      </c>
      <c r="L47" s="13" t="s">
        <v>170</v>
      </c>
      <c r="M47" s="517">
        <v>2550</v>
      </c>
      <c r="N47" s="517">
        <v>2665</v>
      </c>
    </row>
    <row r="48" spans="2:14">
      <c r="B48" s="499" t="s">
        <v>397</v>
      </c>
      <c r="C48" s="88">
        <f>AVERAGE(C52:C57)</f>
        <v>27.363234231883592</v>
      </c>
      <c r="D48" s="321">
        <f>AVERAGE(D52:D57)</f>
        <v>23.889916113084979</v>
      </c>
      <c r="L48" s="13" t="s">
        <v>108</v>
      </c>
      <c r="M48" s="517">
        <v>7076</v>
      </c>
      <c r="N48" s="517">
        <v>7549</v>
      </c>
    </row>
    <row r="49" spans="2:14">
      <c r="B49" s="500" t="s">
        <v>398</v>
      </c>
      <c r="C49" s="501">
        <f>(C47-C48)/C48</f>
        <v>-0.48719678961887858</v>
      </c>
      <c r="D49" s="502">
        <f>(D47-D48)/D48</f>
        <v>-0.36384347586782717</v>
      </c>
      <c r="L49" s="13" t="s">
        <v>413</v>
      </c>
      <c r="M49" s="517">
        <v>48144.1</v>
      </c>
      <c r="N49" s="517">
        <v>49110.3</v>
      </c>
    </row>
    <row r="50" spans="2:14">
      <c r="B50" s="499"/>
      <c r="C50" s="503"/>
      <c r="D50" s="504"/>
      <c r="L50" s="507"/>
      <c r="M50" s="507"/>
      <c r="N50" s="507"/>
    </row>
    <row r="51" spans="2:14">
      <c r="B51" s="499"/>
      <c r="C51" s="503"/>
      <c r="D51" s="504"/>
      <c r="L51" s="530"/>
      <c r="M51" s="507"/>
      <c r="N51" s="507"/>
    </row>
    <row r="52" spans="2:14" ht="20.65">
      <c r="B52" s="499" t="s">
        <v>399</v>
      </c>
      <c r="C52" s="88">
        <f>M19</f>
        <v>17.378487789440371</v>
      </c>
      <c r="D52" s="321">
        <f>N19</f>
        <v>16.802280553570267</v>
      </c>
      <c r="L52" s="4" t="s">
        <v>421</v>
      </c>
      <c r="M52" s="4"/>
      <c r="N52" s="4"/>
    </row>
    <row r="53" spans="2:14">
      <c r="B53" s="499" t="s">
        <v>400</v>
      </c>
      <c r="C53" s="88">
        <f>M32</f>
        <v>28.378811503811502</v>
      </c>
      <c r="D53" s="321">
        <f>N32</f>
        <v>31.188597132826214</v>
      </c>
      <c r="L53" s="6" t="s">
        <v>20</v>
      </c>
      <c r="M53" s="7" t="s">
        <v>29</v>
      </c>
      <c r="N53" s="7" t="s">
        <v>30</v>
      </c>
    </row>
    <row r="54" spans="2:14">
      <c r="B54" s="499" t="s">
        <v>401</v>
      </c>
      <c r="C54" s="88">
        <f>M45</f>
        <v>18.880039215686274</v>
      </c>
      <c r="D54" s="321">
        <f>N45</f>
        <v>18.427879924953096</v>
      </c>
      <c r="L54" s="8" t="s">
        <v>31</v>
      </c>
      <c r="M54" s="9" t="s">
        <v>415</v>
      </c>
      <c r="N54" s="9" t="s">
        <v>416</v>
      </c>
    </row>
    <row r="55" spans="2:14">
      <c r="B55" s="499" t="s">
        <v>402</v>
      </c>
      <c r="C55" s="88">
        <f>M58</f>
        <v>27.521507760532153</v>
      </c>
      <c r="D55" s="321">
        <f>N58</f>
        <v>19.385972651080724</v>
      </c>
      <c r="L55" s="525" t="s">
        <v>411</v>
      </c>
      <c r="M55" s="526">
        <v>29.1</v>
      </c>
      <c r="N55" s="526">
        <v>31.4</v>
      </c>
    </row>
    <row r="56" spans="2:14">
      <c r="B56" s="499" t="s">
        <v>403</v>
      </c>
      <c r="C56" s="88">
        <f>M72</f>
        <v>8.7315328467153286</v>
      </c>
      <c r="D56" s="321">
        <f>N72</f>
        <v>9.1402901263453433</v>
      </c>
      <c r="L56" s="513" t="s">
        <v>409</v>
      </c>
      <c r="M56" s="524">
        <f>M62/M59</f>
        <v>24.301908957415566</v>
      </c>
      <c r="N56" s="524">
        <f>N62/N59</f>
        <v>18.70127659574468</v>
      </c>
    </row>
    <row r="57" spans="2:14">
      <c r="B57" s="499" t="s">
        <v>404</v>
      </c>
      <c r="C57" s="88">
        <f>M84</f>
        <v>63.289026275115923</v>
      </c>
      <c r="D57" s="321">
        <f>N84</f>
        <v>48.394476289734236</v>
      </c>
      <c r="L57" s="513" t="s">
        <v>410</v>
      </c>
      <c r="M57" s="524">
        <f>M62/M61</f>
        <v>7.0704642551979493</v>
      </c>
      <c r="N57" s="524">
        <f>N62/N61</f>
        <v>5.2281703545086842</v>
      </c>
    </row>
    <row r="58" spans="2:14" ht="14.65" thickBot="1">
      <c r="B58" s="505"/>
      <c r="C58" s="325"/>
      <c r="D58" s="326"/>
      <c r="L58" s="513" t="s">
        <v>408</v>
      </c>
      <c r="M58" s="516">
        <f>M62/M60</f>
        <v>27.521507760532153</v>
      </c>
      <c r="N58" s="516">
        <f>N62/N60</f>
        <v>19.385972651080724</v>
      </c>
    </row>
    <row r="59" spans="2:14">
      <c r="L59" s="13" t="s">
        <v>6</v>
      </c>
      <c r="M59" s="517">
        <v>2043</v>
      </c>
      <c r="N59" s="517">
        <v>2350</v>
      </c>
    </row>
    <row r="60" spans="2:14">
      <c r="L60" s="13" t="s">
        <v>170</v>
      </c>
      <c r="M60" s="517">
        <v>1804</v>
      </c>
      <c r="N60" s="517">
        <v>2267</v>
      </c>
    </row>
    <row r="61" spans="2:14">
      <c r="L61" s="13" t="s">
        <v>108</v>
      </c>
      <c r="M61" s="517">
        <v>7022</v>
      </c>
      <c r="N61" s="517">
        <v>8406</v>
      </c>
    </row>
    <row r="62" spans="2:14">
      <c r="L62" s="13" t="s">
        <v>413</v>
      </c>
      <c r="M62" s="517">
        <v>49648.800000000003</v>
      </c>
      <c r="N62" s="517">
        <v>43948</v>
      </c>
    </row>
    <row r="63" spans="2:14">
      <c r="L63" s="507"/>
      <c r="M63" s="507"/>
      <c r="N63" s="507"/>
    </row>
    <row r="64" spans="2:14">
      <c r="L64" s="507"/>
      <c r="M64" s="507"/>
      <c r="N64" s="507"/>
    </row>
    <row r="65" spans="12:14">
      <c r="L65" s="507"/>
      <c r="M65" s="507"/>
      <c r="N65" s="507"/>
    </row>
    <row r="66" spans="12:14" ht="20.65">
      <c r="L66" s="4" t="s">
        <v>422</v>
      </c>
      <c r="M66" s="4"/>
      <c r="N66" s="4"/>
    </row>
    <row r="67" spans="12:14">
      <c r="L67" s="6" t="s">
        <v>20</v>
      </c>
      <c r="M67" s="7" t="s">
        <v>29</v>
      </c>
      <c r="N67" s="7" t="s">
        <v>30</v>
      </c>
    </row>
    <row r="68" spans="12:14">
      <c r="L68" s="8" t="s">
        <v>31</v>
      </c>
      <c r="M68" s="9" t="s">
        <v>415</v>
      </c>
      <c r="N68" s="9" t="s">
        <v>416</v>
      </c>
    </row>
    <row r="69" spans="12:14">
      <c r="L69" s="525" t="s">
        <v>411</v>
      </c>
      <c r="M69" s="526">
        <v>20.399999999999999</v>
      </c>
      <c r="N69" s="526">
        <v>20.5</v>
      </c>
    </row>
    <row r="70" spans="12:14">
      <c r="L70" s="513" t="s">
        <v>409</v>
      </c>
      <c r="M70" s="524">
        <f>M76/M73</f>
        <v>16.223598553345386</v>
      </c>
      <c r="N70" s="524">
        <f>N76/N73</f>
        <v>16.809638554216868</v>
      </c>
    </row>
    <row r="71" spans="12:14">
      <c r="L71" s="513" t="s">
        <v>410</v>
      </c>
      <c r="M71" s="524">
        <f>M76/M75</f>
        <v>1.6344780470030971</v>
      </c>
      <c r="N71" s="524">
        <f>N76/N75</f>
        <v>1.7281075820578606</v>
      </c>
    </row>
    <row r="72" spans="12:14">
      <c r="L72" s="513" t="s">
        <v>408</v>
      </c>
      <c r="M72" s="516">
        <f>M76/M74</f>
        <v>8.7315328467153286</v>
      </c>
      <c r="N72" s="516">
        <f>N76/N74</f>
        <v>9.1402901263453433</v>
      </c>
    </row>
    <row r="73" spans="12:14">
      <c r="L73" s="13" t="s">
        <v>6</v>
      </c>
      <c r="M73" s="517">
        <v>1106</v>
      </c>
      <c r="N73" s="517">
        <v>1162</v>
      </c>
    </row>
    <row r="74" spans="12:14">
      <c r="L74" s="13" t="s">
        <v>170</v>
      </c>
      <c r="M74" s="517">
        <v>2055</v>
      </c>
      <c r="N74" s="517">
        <v>2137</v>
      </c>
    </row>
    <row r="75" spans="12:14">
      <c r="L75" s="13" t="s">
        <v>108</v>
      </c>
      <c r="M75" s="517">
        <v>10978</v>
      </c>
      <c r="N75" s="517">
        <v>11303</v>
      </c>
    </row>
    <row r="76" spans="12:14">
      <c r="L76" s="13" t="s">
        <v>413</v>
      </c>
      <c r="M76" s="517">
        <v>17943.3</v>
      </c>
      <c r="N76" s="517">
        <v>19532.8</v>
      </c>
    </row>
    <row r="77" spans="12:14">
      <c r="L77" s="507"/>
      <c r="M77" s="507"/>
      <c r="N77" s="507"/>
    </row>
    <row r="78" spans="12:14" ht="20.65">
      <c r="L78" s="4" t="s">
        <v>423</v>
      </c>
      <c r="M78" s="4"/>
      <c r="N78" s="4"/>
    </row>
    <row r="79" spans="12:14">
      <c r="L79" s="6" t="s">
        <v>20</v>
      </c>
      <c r="M79" s="7" t="s">
        <v>29</v>
      </c>
      <c r="N79" s="7" t="s">
        <v>30</v>
      </c>
    </row>
    <row r="80" spans="12:14">
      <c r="L80" s="8" t="s">
        <v>31</v>
      </c>
      <c r="M80" s="9" t="s">
        <v>424</v>
      </c>
      <c r="N80" s="9" t="s">
        <v>425</v>
      </c>
    </row>
    <row r="81" spans="12:14">
      <c r="L81" s="525" t="s">
        <v>411</v>
      </c>
      <c r="M81" s="526">
        <v>103.3</v>
      </c>
      <c r="N81" s="526">
        <v>76.599999999999994</v>
      </c>
    </row>
    <row r="82" spans="12:14">
      <c r="L82" s="513" t="s">
        <v>409</v>
      </c>
      <c r="M82" s="524">
        <f>M88/M85</f>
        <v>72.731793960923625</v>
      </c>
      <c r="N82" s="524">
        <f>N88/N85</f>
        <v>56.080314009661834</v>
      </c>
    </row>
    <row r="83" spans="12:14">
      <c r="L83" s="513" t="s">
        <v>410</v>
      </c>
      <c r="M83" s="524">
        <f>M88/M87</f>
        <v>17.799608780699849</v>
      </c>
      <c r="N83" s="524">
        <f>N88/N87</f>
        <v>14.840044742729306</v>
      </c>
    </row>
    <row r="84" spans="12:14">
      <c r="L84" s="513" t="s">
        <v>408</v>
      </c>
      <c r="M84" s="516">
        <f>M88/M86</f>
        <v>63.289026275115923</v>
      </c>
      <c r="N84" s="516">
        <f>N88/N86</f>
        <v>48.394476289734236</v>
      </c>
    </row>
    <row r="85" spans="12:14">
      <c r="L85" s="13" t="s">
        <v>6</v>
      </c>
      <c r="M85" s="517">
        <v>112.6</v>
      </c>
      <c r="N85" s="517">
        <v>165.6</v>
      </c>
    </row>
    <row r="86" spans="12:14">
      <c r="L86" s="13" t="s">
        <v>170</v>
      </c>
      <c r="M86" s="517">
        <v>129.4</v>
      </c>
      <c r="N86" s="517">
        <v>191.9</v>
      </c>
    </row>
    <row r="87" spans="12:14">
      <c r="L87" s="13" t="s">
        <v>108</v>
      </c>
      <c r="M87" s="517">
        <v>460.1</v>
      </c>
      <c r="N87" s="517">
        <v>625.79999999999995</v>
      </c>
    </row>
    <row r="88" spans="12:14">
      <c r="L88" s="13" t="s">
        <v>413</v>
      </c>
      <c r="M88" s="517">
        <v>8189.6</v>
      </c>
      <c r="N88" s="517">
        <v>9286.9</v>
      </c>
    </row>
    <row r="89" spans="12:14">
      <c r="L89" s="507"/>
      <c r="M89" s="507"/>
      <c r="N89" s="507"/>
    </row>
    <row r="90" spans="12:14">
      <c r="L90" s="507"/>
      <c r="M90" s="507"/>
      <c r="N90" s="50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CEC7-95B8-48A4-B482-8536110D4270}">
  <dimension ref="B2:Y113"/>
  <sheetViews>
    <sheetView topLeftCell="A71" zoomScale="45" zoomScaleNormal="71" workbookViewId="0">
      <selection activeCell="S21" sqref="S21"/>
    </sheetView>
  </sheetViews>
  <sheetFormatPr defaultRowHeight="16.25" customHeight="1"/>
  <cols>
    <col min="1" max="1" width="9.06640625" style="26"/>
    <col min="2" max="2" width="50.9296875" style="33" bestFit="1" customWidth="1"/>
    <col min="3" max="4" width="16.33203125" style="26" bestFit="1" customWidth="1"/>
    <col min="5" max="6" width="14.265625" style="26" bestFit="1" customWidth="1"/>
    <col min="7" max="7" width="15.19921875" style="26" customWidth="1"/>
    <col min="8" max="8" width="14.265625" style="26" bestFit="1" customWidth="1"/>
    <col min="9" max="9" width="15.265625" style="26" bestFit="1" customWidth="1"/>
    <col min="10" max="10" width="17.1328125" style="26" customWidth="1"/>
    <col min="11" max="11" width="17.06640625" style="26" customWidth="1"/>
    <col min="12" max="12" width="15.3984375" style="26" bestFit="1" customWidth="1"/>
    <col min="13" max="13" width="15.46484375" style="26" bestFit="1" customWidth="1"/>
    <col min="14" max="18" width="14.73046875" style="26" bestFit="1" customWidth="1"/>
    <col min="19" max="21" width="16.33203125" style="26" bestFit="1" customWidth="1"/>
    <col min="22" max="22" width="12.9296875" style="26" bestFit="1" customWidth="1"/>
    <col min="23" max="24" width="15.53125" style="26" bestFit="1" customWidth="1"/>
    <col min="25" max="25" width="9.06640625" style="26"/>
    <col min="26" max="26" width="6.9296875" style="26" bestFit="1" customWidth="1"/>
    <col min="27" max="28" width="9.06640625" style="26"/>
    <col min="29" max="29" width="7.796875" style="26" bestFit="1" customWidth="1"/>
    <col min="30" max="30" width="8.796875" style="26" bestFit="1" customWidth="1"/>
    <col min="31" max="16384" width="9.06640625" style="26"/>
  </cols>
  <sheetData>
    <row r="2" spans="2:24" ht="23.65" thickBot="1">
      <c r="B2" s="590" t="s">
        <v>388</v>
      </c>
      <c r="C2" s="590"/>
      <c r="D2" s="590"/>
      <c r="E2" s="590"/>
      <c r="F2" s="590"/>
      <c r="G2" s="590"/>
      <c r="H2" s="590"/>
      <c r="I2" s="590"/>
      <c r="J2" s="590"/>
      <c r="K2" s="590"/>
      <c r="L2" s="590"/>
      <c r="M2" s="590"/>
      <c r="N2" s="590"/>
      <c r="O2" s="590"/>
      <c r="P2" s="590"/>
      <c r="Q2" s="590"/>
      <c r="R2" s="590"/>
      <c r="S2" s="590"/>
      <c r="T2" s="590"/>
      <c r="U2" s="590"/>
    </row>
    <row r="3" spans="2:24" ht="16.25" customHeight="1">
      <c r="B3" s="395" t="s">
        <v>285</v>
      </c>
      <c r="C3" s="396">
        <v>2019</v>
      </c>
      <c r="D3" s="396">
        <v>2020</v>
      </c>
      <c r="E3" s="396">
        <v>2021</v>
      </c>
      <c r="F3" s="396">
        <v>2022</v>
      </c>
      <c r="G3" s="396">
        <v>2023</v>
      </c>
      <c r="H3" s="396">
        <v>2024</v>
      </c>
      <c r="I3" s="394">
        <v>2025</v>
      </c>
      <c r="J3" s="394">
        <v>2026</v>
      </c>
      <c r="K3" s="394">
        <v>2027</v>
      </c>
      <c r="L3" s="394">
        <v>2028</v>
      </c>
      <c r="M3" s="394">
        <v>2029</v>
      </c>
      <c r="N3" s="394">
        <v>2030</v>
      </c>
      <c r="O3" s="394">
        <v>2031</v>
      </c>
      <c r="P3" s="394">
        <v>2032</v>
      </c>
      <c r="Q3" s="394">
        <v>2033</v>
      </c>
      <c r="R3" s="394">
        <v>2034</v>
      </c>
      <c r="S3" s="226" t="s">
        <v>344</v>
      </c>
      <c r="T3" s="226" t="s">
        <v>345</v>
      </c>
      <c r="U3" s="283" t="s">
        <v>343</v>
      </c>
    </row>
    <row r="4" spans="2:24" ht="16.25" customHeight="1">
      <c r="B4" s="397" t="s">
        <v>269</v>
      </c>
      <c r="C4" s="228">
        <v>18259</v>
      </c>
      <c r="D4" s="228">
        <v>16379.2</v>
      </c>
      <c r="E4" s="228">
        <v>20447.900000000001</v>
      </c>
      <c r="F4" s="228">
        <v>23370.799999999999</v>
      </c>
      <c r="G4" s="228">
        <v>26569.599999999999</v>
      </c>
      <c r="H4" s="228">
        <v>27009.5</v>
      </c>
      <c r="I4" s="229">
        <f>H4+(H4*I5)</f>
        <v>27819.785</v>
      </c>
      <c r="J4" s="229">
        <f t="shared" ref="J4:M4" si="0">I4+(I4*J5)</f>
        <v>28654.378550000001</v>
      </c>
      <c r="K4" s="229">
        <f t="shared" si="0"/>
        <v>29514.009906500003</v>
      </c>
      <c r="L4" s="229">
        <f t="shared" si="0"/>
        <v>30399.430203695003</v>
      </c>
      <c r="M4" s="229">
        <f t="shared" si="0"/>
        <v>31311.413109805853</v>
      </c>
      <c r="N4" s="229">
        <f t="shared" ref="N4" si="1">M4+(M4*N5)</f>
        <v>32250.75550310003</v>
      </c>
      <c r="O4" s="229">
        <f t="shared" ref="O4" si="2">N4+(N4*O5)</f>
        <v>33218.278168193028</v>
      </c>
      <c r="P4" s="229">
        <f t="shared" ref="P4" si="3">O4+(O4*P5)</f>
        <v>34214.826513238819</v>
      </c>
      <c r="Q4" s="229">
        <f t="shared" ref="Q4" si="4">P4+(P4*Q5)</f>
        <v>35241.27130863598</v>
      </c>
      <c r="R4" s="229">
        <f t="shared" ref="R4" si="5">Q4+(Q4*R5)</f>
        <v>36298.509447895056</v>
      </c>
      <c r="S4" s="331">
        <f>(H4/C4)^(1/4)-1</f>
        <v>0.10283334535663435</v>
      </c>
      <c r="T4" s="331">
        <f>(H4/E4)^(1/3)-1</f>
        <v>9.7208787874836666E-2</v>
      </c>
      <c r="U4" s="332">
        <f>(R4/I4)^(1/9)-1</f>
        <v>3.0000000000000027E-2</v>
      </c>
    </row>
    <row r="5" spans="2:24" s="27" customFormat="1" ht="16.25" customHeight="1">
      <c r="B5" s="398" t="s">
        <v>276</v>
      </c>
      <c r="D5" s="230">
        <f>(D4-C4)/C4</f>
        <v>-0.1029519688920532</v>
      </c>
      <c r="E5" s="230">
        <f t="shared" ref="E5:G5" si="6">(E4-D4)/D4</f>
        <v>0.24840651558073656</v>
      </c>
      <c r="F5" s="230">
        <f t="shared" si="6"/>
        <v>0.14294377417729925</v>
      </c>
      <c r="G5" s="230">
        <f t="shared" si="6"/>
        <v>0.13687165180481625</v>
      </c>
      <c r="H5" s="230">
        <f>(H4-G4)/G4</f>
        <v>1.6556515717210701E-2</v>
      </c>
      <c r="I5" s="231">
        <v>0.03</v>
      </c>
      <c r="J5" s="231">
        <v>0.03</v>
      </c>
      <c r="K5" s="231">
        <v>0.03</v>
      </c>
      <c r="L5" s="231">
        <v>0.03</v>
      </c>
      <c r="M5" s="231">
        <v>0.03</v>
      </c>
      <c r="N5" s="231">
        <v>0.03</v>
      </c>
      <c r="O5" s="231">
        <v>0.03</v>
      </c>
      <c r="P5" s="231">
        <v>0.03</v>
      </c>
      <c r="Q5" s="231">
        <v>0.03</v>
      </c>
      <c r="R5" s="231">
        <v>0.03</v>
      </c>
      <c r="S5" s="346"/>
      <c r="T5" s="333"/>
      <c r="U5" s="334"/>
    </row>
    <row r="6" spans="2:24" ht="16.25" customHeight="1">
      <c r="B6" s="397" t="s">
        <v>270</v>
      </c>
      <c r="C6" s="228">
        <v>6190.7</v>
      </c>
      <c r="D6" s="228">
        <v>5147.6000000000004</v>
      </c>
      <c r="E6" s="228">
        <v>6921.6</v>
      </c>
      <c r="F6" s="228">
        <v>6940.1</v>
      </c>
      <c r="G6" s="228">
        <v>7487.6</v>
      </c>
      <c r="H6" s="228">
        <v>7338.9</v>
      </c>
      <c r="I6" s="229">
        <f>H6+(H6*I7)</f>
        <v>7632.4559999999992</v>
      </c>
      <c r="J6" s="229">
        <f t="shared" ref="J6:M6" si="7">I6+(I6*J7)</f>
        <v>7937.7542399999993</v>
      </c>
      <c r="K6" s="229">
        <f t="shared" si="7"/>
        <v>8275.1087951999998</v>
      </c>
      <c r="L6" s="229">
        <f t="shared" si="7"/>
        <v>8626.8009189959994</v>
      </c>
      <c r="M6" s="229">
        <f t="shared" si="7"/>
        <v>8993.43995805333</v>
      </c>
      <c r="N6" s="229">
        <f t="shared" ref="N6" si="8">M6+(M6*N7)</f>
        <v>9488.0791557462635</v>
      </c>
      <c r="O6" s="229">
        <f t="shared" ref="O6" si="9">N6+(N6*O7)</f>
        <v>10009.923509312308</v>
      </c>
      <c r="P6" s="229">
        <f t="shared" ref="P6" si="10">O6+(O6*P7)</f>
        <v>10560.469302324485</v>
      </c>
      <c r="Q6" s="229">
        <f t="shared" ref="Q6" si="11">P6+(P6*Q7)</f>
        <v>11141.295113952332</v>
      </c>
      <c r="R6" s="229">
        <f t="shared" ref="R6" si="12">Q6+(Q6*R7)</f>
        <v>11754.06634521971</v>
      </c>
      <c r="S6" s="331">
        <f>(H6/C6)^(1/4)-1</f>
        <v>4.3452785711554309E-2</v>
      </c>
      <c r="T6" s="331">
        <f>(H6/E6)^(1/3)-1</f>
        <v>1.9705646330687943E-2</v>
      </c>
      <c r="U6" s="332">
        <f>(R6/I6)^(1/9)-1</f>
        <v>4.9146125053090017E-2</v>
      </c>
      <c r="V6" s="423"/>
      <c r="W6" s="419"/>
      <c r="X6" s="419"/>
    </row>
    <row r="7" spans="2:24" s="27" customFormat="1" ht="16.25" customHeight="1">
      <c r="B7" s="398" t="s">
        <v>275</v>
      </c>
      <c r="C7" s="232"/>
      <c r="D7" s="230">
        <f>(D6-C6)/C6</f>
        <v>-0.16849467750012107</v>
      </c>
      <c r="E7" s="230">
        <f t="shared" ref="E7:H7" si="13">(E6-D6)/D6</f>
        <v>0.34462662211516043</v>
      </c>
      <c r="F7" s="230">
        <f t="shared" si="13"/>
        <v>2.672792417938049E-3</v>
      </c>
      <c r="G7" s="230">
        <f t="shared" si="13"/>
        <v>7.8889353179349003E-2</v>
      </c>
      <c r="H7" s="230">
        <f t="shared" si="13"/>
        <v>-1.9859501041722412E-2</v>
      </c>
      <c r="I7" s="231">
        <v>0.04</v>
      </c>
      <c r="J7" s="231">
        <v>0.04</v>
      </c>
      <c r="K7" s="231">
        <v>4.2500000000000003E-2</v>
      </c>
      <c r="L7" s="231">
        <v>4.2500000000000003E-2</v>
      </c>
      <c r="M7" s="231">
        <v>4.2500000000000003E-2</v>
      </c>
      <c r="N7" s="231">
        <v>5.5E-2</v>
      </c>
      <c r="O7" s="231">
        <v>5.5E-2</v>
      </c>
      <c r="P7" s="231">
        <v>5.5E-2</v>
      </c>
      <c r="Q7" s="231">
        <v>5.5E-2</v>
      </c>
      <c r="R7" s="231">
        <v>5.5E-2</v>
      </c>
      <c r="S7" s="333"/>
      <c r="T7" s="333"/>
      <c r="U7" s="334"/>
    </row>
    <row r="8" spans="2:24" ht="16.25" customHeight="1">
      <c r="B8" s="397" t="s">
        <v>271</v>
      </c>
      <c r="C8" s="228">
        <v>1992.6</v>
      </c>
      <c r="D8" s="228">
        <v>1925</v>
      </c>
      <c r="E8" s="228">
        <v>1593.6</v>
      </c>
      <c r="F8" s="228">
        <v>1843.6</v>
      </c>
      <c r="G8" s="228">
        <v>1893.8</v>
      </c>
      <c r="H8" s="228">
        <v>1769.8</v>
      </c>
      <c r="I8" s="229">
        <f>H8+(H8*I9)</f>
        <v>1796.347</v>
      </c>
      <c r="J8" s="229">
        <f t="shared" ref="J8:M8" si="14">I8+(I8*J9)</f>
        <v>1823.292205</v>
      </c>
      <c r="K8" s="229">
        <f t="shared" si="14"/>
        <v>1850.6415880750001</v>
      </c>
      <c r="L8" s="229">
        <f t="shared" si="14"/>
        <v>1878.401211896125</v>
      </c>
      <c r="M8" s="229">
        <f t="shared" si="14"/>
        <v>1906.5772300745668</v>
      </c>
      <c r="N8" s="229">
        <f t="shared" ref="N8" si="15">M8+(M8*N9)</f>
        <v>1935.1758885256854</v>
      </c>
      <c r="O8" s="229">
        <f t="shared" ref="O8" si="16">N8+(N8*O9)</f>
        <v>1964.2035268535708</v>
      </c>
      <c r="P8" s="229">
        <f t="shared" ref="P8" si="17">O8+(O8*P9)</f>
        <v>1993.6665797563744</v>
      </c>
      <c r="Q8" s="229">
        <f t="shared" ref="Q8" si="18">P8+(P8*Q9)</f>
        <v>2023.5715784527201</v>
      </c>
      <c r="R8" s="229">
        <f t="shared" ref="R8" si="19">Q8+(Q8*R9)</f>
        <v>2053.9251521295109</v>
      </c>
      <c r="S8" s="331">
        <f>(H8/C8)^(1/4)-1</f>
        <v>-2.9208385796978376E-2</v>
      </c>
      <c r="T8" s="331">
        <f t="shared" ref="T8" si="20">(H8/E8)^(1/3)-1</f>
        <v>3.5575156708681499E-2</v>
      </c>
      <c r="U8" s="332">
        <f>(R8/I8)^(1/9)-1</f>
        <v>1.5000000000000124E-2</v>
      </c>
    </row>
    <row r="9" spans="2:24" s="27" customFormat="1" ht="16.25" customHeight="1">
      <c r="B9" s="398" t="s">
        <v>274</v>
      </c>
      <c r="C9" s="232"/>
      <c r="D9" s="230">
        <f>(D8-C8)/C8</f>
        <v>-3.3925524440429546E-2</v>
      </c>
      <c r="E9" s="230">
        <f t="shared" ref="E9:H9" si="21">(E8-D8)/D8</f>
        <v>-0.1721558441558442</v>
      </c>
      <c r="F9" s="230">
        <f t="shared" si="21"/>
        <v>0.15687751004016065</v>
      </c>
      <c r="G9" s="230">
        <f t="shared" si="21"/>
        <v>2.7229333911911503E-2</v>
      </c>
      <c r="H9" s="230">
        <f t="shared" si="21"/>
        <v>-6.5476819093885308E-2</v>
      </c>
      <c r="I9" s="231">
        <v>1.4999999999999999E-2</v>
      </c>
      <c r="J9" s="231">
        <v>1.4999999999999999E-2</v>
      </c>
      <c r="K9" s="231">
        <v>1.4999999999999999E-2</v>
      </c>
      <c r="L9" s="231">
        <v>1.4999999999999999E-2</v>
      </c>
      <c r="M9" s="231">
        <v>1.4999999999999999E-2</v>
      </c>
      <c r="N9" s="231">
        <v>1.4999999999999999E-2</v>
      </c>
      <c r="O9" s="231">
        <v>1.4999999999999999E-2</v>
      </c>
      <c r="P9" s="231">
        <v>1.4999999999999999E-2</v>
      </c>
      <c r="Q9" s="231">
        <v>1.4999999999999999E-2</v>
      </c>
      <c r="R9" s="231">
        <v>1.4999999999999999E-2</v>
      </c>
      <c r="S9" s="333"/>
      <c r="T9" s="333"/>
      <c r="U9" s="334"/>
    </row>
    <row r="10" spans="2:24" ht="16.25" customHeight="1">
      <c r="B10" s="397" t="s">
        <v>272</v>
      </c>
      <c r="C10" s="233">
        <v>26442.3</v>
      </c>
      <c r="D10" s="233">
        <v>23451.8</v>
      </c>
      <c r="E10" s="233">
        <v>28963.1</v>
      </c>
      <c r="F10" s="233">
        <v>32154.5</v>
      </c>
      <c r="G10" s="233">
        <v>35951</v>
      </c>
      <c r="H10" s="233">
        <v>36118.199999999997</v>
      </c>
      <c r="I10" s="234">
        <f>I4+I6+I8</f>
        <v>37248.588000000003</v>
      </c>
      <c r="J10" s="234">
        <f>J4+J6+J8</f>
        <v>38415.424995000001</v>
      </c>
      <c r="K10" s="234">
        <f>K4+K6+K8</f>
        <v>39639.760289775004</v>
      </c>
      <c r="L10" s="234">
        <f>L4+L6+L8</f>
        <v>40904.632334587128</v>
      </c>
      <c r="M10" s="234">
        <f>M4+M6+M8</f>
        <v>42211.430297933752</v>
      </c>
      <c r="N10" s="234">
        <f t="shared" ref="N10:R10" si="22">N4+N6+N8</f>
        <v>43674.010547371981</v>
      </c>
      <c r="O10" s="234">
        <f t="shared" si="22"/>
        <v>45192.405204358904</v>
      </c>
      <c r="P10" s="234">
        <f t="shared" si="22"/>
        <v>46768.962395319679</v>
      </c>
      <c r="Q10" s="234">
        <f t="shared" si="22"/>
        <v>48406.138001041028</v>
      </c>
      <c r="R10" s="234">
        <f t="shared" si="22"/>
        <v>50106.500945244275</v>
      </c>
      <c r="S10" s="331">
        <f>(H10/C10)^(1/4)-1</f>
        <v>8.1077223501756279E-2</v>
      </c>
      <c r="T10" s="331">
        <f>(H10/E10)^(1/3)-1</f>
        <v>7.6366943481614991E-2</v>
      </c>
      <c r="U10" s="332">
        <f>(R10/I10)^(1/9)-1</f>
        <v>3.3497338136317723E-2</v>
      </c>
    </row>
    <row r="11" spans="2:24" s="30" customFormat="1" ht="16.25" customHeight="1" thickBot="1">
      <c r="B11" s="399" t="s">
        <v>289</v>
      </c>
      <c r="C11" s="235"/>
      <c r="D11" s="236">
        <f>(D10-C10)/C10</f>
        <v>-0.11309530562772528</v>
      </c>
      <c r="E11" s="236">
        <f t="shared" ref="E11:I11" si="23">(E10-D10)/D10</f>
        <v>0.23500541536257341</v>
      </c>
      <c r="F11" s="236">
        <f t="shared" si="23"/>
        <v>0.11018848120539589</v>
      </c>
      <c r="G11" s="236">
        <f t="shared" si="23"/>
        <v>0.11807056555070053</v>
      </c>
      <c r="H11" s="236">
        <f t="shared" si="23"/>
        <v>4.6507746655168724E-3</v>
      </c>
      <c r="I11" s="347">
        <f t="shared" si="23"/>
        <v>3.1296908483811663E-2</v>
      </c>
      <c r="J11" s="237">
        <f t="shared" ref="J11:M11" si="24">(J10-I10)/I10</f>
        <v>3.1325670519376403E-2</v>
      </c>
      <c r="K11" s="237">
        <f t="shared" si="24"/>
        <v>3.1870929319000305E-2</v>
      </c>
      <c r="L11" s="237">
        <f t="shared" si="24"/>
        <v>3.1909174918456684E-2</v>
      </c>
      <c r="M11" s="237">
        <f t="shared" si="24"/>
        <v>3.1947432081956495E-2</v>
      </c>
      <c r="N11" s="237">
        <f t="shared" ref="N11" si="25">(N10-M10)/M10</f>
        <v>3.4648914739802666E-2</v>
      </c>
      <c r="O11" s="237">
        <f t="shared" ref="O11" si="26">(O10-N10)/N10</f>
        <v>3.4766549670082664E-2</v>
      </c>
      <c r="P11" s="237">
        <f t="shared" ref="P11" si="27">(P10-O10)/O10</f>
        <v>3.488544554846381E-2</v>
      </c>
      <c r="Q11" s="237">
        <f t="shared" ref="Q11" si="28">(Q10-P10)/P10</f>
        <v>3.500560033560178E-2</v>
      </c>
      <c r="R11" s="237">
        <f t="shared" ref="R11" si="29">(R10-Q10)/Q10</f>
        <v>3.5127011044894324E-2</v>
      </c>
      <c r="S11" s="235"/>
      <c r="T11" s="235"/>
      <c r="U11" s="238"/>
    </row>
    <row r="12" spans="2:24" s="30" customFormat="1" ht="16.25" customHeight="1">
      <c r="B12" s="327"/>
      <c r="D12" s="328"/>
      <c r="E12" s="328"/>
      <c r="F12" s="328"/>
      <c r="G12" s="328"/>
      <c r="H12" s="329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48"/>
    </row>
    <row r="13" spans="2:24" s="30" customFormat="1" ht="16.25" customHeight="1">
      <c r="B13" s="327"/>
      <c r="D13" s="328"/>
      <c r="E13" s="328"/>
      <c r="F13" s="328"/>
      <c r="G13" s="328"/>
      <c r="H13" s="329"/>
      <c r="I13" s="329"/>
      <c r="J13" s="329"/>
      <c r="K13" s="329"/>
      <c r="L13" s="329"/>
      <c r="M13" s="329"/>
      <c r="N13" s="329"/>
      <c r="O13" s="329"/>
      <c r="P13" s="329"/>
      <c r="Q13" s="329"/>
      <c r="R13" s="329"/>
      <c r="S13" s="348"/>
    </row>
    <row r="14" spans="2:24" s="30" customFormat="1" ht="16.25" customHeight="1" thickBot="1">
      <c r="B14" s="327"/>
      <c r="D14" s="328"/>
      <c r="E14" s="328"/>
      <c r="F14" s="328"/>
      <c r="G14" s="328"/>
      <c r="H14" s="329"/>
      <c r="I14" s="329"/>
      <c r="J14" s="329"/>
      <c r="K14" s="329"/>
      <c r="L14" s="329"/>
      <c r="M14" s="329"/>
      <c r="N14" s="329"/>
      <c r="O14" s="329"/>
      <c r="P14" s="329"/>
      <c r="Q14" s="329"/>
      <c r="R14" s="329"/>
    </row>
    <row r="15" spans="2:24" s="30" customFormat="1" ht="21">
      <c r="B15" s="302"/>
      <c r="C15" s="591" t="s">
        <v>389</v>
      </c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591"/>
      <c r="O15" s="591"/>
      <c r="P15" s="591"/>
      <c r="Q15" s="591"/>
      <c r="R15" s="591"/>
      <c r="S15" s="214"/>
    </row>
    <row r="16" spans="2:24" s="30" customFormat="1" ht="16.25" customHeight="1">
      <c r="B16" s="309" t="s">
        <v>382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15"/>
    </row>
    <row r="17" spans="2:19" s="30" customFormat="1" ht="16.25" customHeight="1">
      <c r="B17" s="309" t="s">
        <v>266</v>
      </c>
      <c r="C17" s="404">
        <v>2019</v>
      </c>
      <c r="D17" s="404">
        <v>2020</v>
      </c>
      <c r="E17" s="404">
        <v>2021</v>
      </c>
      <c r="F17" s="404">
        <v>2022</v>
      </c>
      <c r="G17" s="404">
        <v>2023</v>
      </c>
      <c r="H17" s="404">
        <v>2024</v>
      </c>
      <c r="I17" s="405">
        <v>2025</v>
      </c>
      <c r="J17" s="405">
        <v>2026</v>
      </c>
      <c r="K17" s="405">
        <v>2027</v>
      </c>
      <c r="L17" s="405">
        <v>2028</v>
      </c>
      <c r="M17" s="405">
        <v>2029</v>
      </c>
      <c r="N17" s="405">
        <v>2030</v>
      </c>
      <c r="O17" s="405">
        <v>2031</v>
      </c>
      <c r="P17" s="405">
        <v>2032</v>
      </c>
      <c r="Q17" s="405">
        <v>2033</v>
      </c>
      <c r="R17" s="405">
        <v>2034</v>
      </c>
      <c r="S17" s="215"/>
    </row>
    <row r="18" spans="2:19" s="30" customFormat="1" ht="16.25" customHeight="1">
      <c r="B18" s="309" t="s">
        <v>283</v>
      </c>
      <c r="C18" s="406">
        <f t="shared" ref="C18:H18" si="30">C10/C94</f>
        <v>0.84599116969541843</v>
      </c>
      <c r="D18" s="406">
        <f t="shared" si="30"/>
        <v>0.71805878750765462</v>
      </c>
      <c r="E18" s="406">
        <f t="shared" si="30"/>
        <v>0.85606065084385063</v>
      </c>
      <c r="F18" s="406">
        <f t="shared" si="30"/>
        <v>0.90040883761306045</v>
      </c>
      <c r="G18" s="406">
        <f t="shared" si="30"/>
        <v>0.94513381355486614</v>
      </c>
      <c r="H18" s="406">
        <f t="shared" si="30"/>
        <v>0.8984850369412174</v>
      </c>
      <c r="I18" s="407">
        <f>H18+(I19*H18)</f>
        <v>0.90567291723674714</v>
      </c>
      <c r="J18" s="407">
        <f t="shared" ref="J18:M18" si="31">I18+(J19*I18)</f>
        <v>0.91291830057464107</v>
      </c>
      <c r="K18" s="407">
        <f t="shared" si="31"/>
        <v>0.92022164697923825</v>
      </c>
      <c r="L18" s="407">
        <f t="shared" si="31"/>
        <v>0.92942386344903061</v>
      </c>
      <c r="M18" s="407">
        <f t="shared" si="31"/>
        <v>0.93871810208352091</v>
      </c>
      <c r="N18" s="407">
        <f t="shared" ref="N18" si="32">M18+(N19*M18)</f>
        <v>0.94810528310435616</v>
      </c>
      <c r="O18" s="407">
        <f t="shared" ref="O18" si="33">N18+(O19*N18)</f>
        <v>0.95758633593539977</v>
      </c>
      <c r="P18" s="407">
        <f t="shared" ref="P18" si="34">O18+(P19*O18)</f>
        <v>0.96955616513459231</v>
      </c>
      <c r="Q18" s="407">
        <f t="shared" ref="Q18" si="35">P18+(Q19*P18)</f>
        <v>0.98167561719877472</v>
      </c>
      <c r="R18" s="407">
        <f>Q18+(R19*Q18)</f>
        <v>0.99394656241375945</v>
      </c>
      <c r="S18" s="215"/>
    </row>
    <row r="19" spans="2:19" s="30" customFormat="1" ht="16.25" customHeight="1">
      <c r="B19" s="400" t="s">
        <v>284</v>
      </c>
      <c r="C19" s="408"/>
      <c r="D19" s="289">
        <f>(D18-C18)/C18</f>
        <v>-0.15122188832517391</v>
      </c>
      <c r="E19" s="289">
        <f t="shared" ref="E19:H19" si="36">(E18-D18)/D18</f>
        <v>0.19218741659745359</v>
      </c>
      <c r="F19" s="289">
        <f t="shared" si="36"/>
        <v>5.180495882563247E-2</v>
      </c>
      <c r="G19" s="289">
        <f t="shared" si="36"/>
        <v>4.9671853577503082E-2</v>
      </c>
      <c r="H19" s="289">
        <f t="shared" si="36"/>
        <v>-4.9356795772856697E-2</v>
      </c>
      <c r="I19" s="409">
        <v>8.0000000000000002E-3</v>
      </c>
      <c r="J19" s="409">
        <v>8.0000000000000002E-3</v>
      </c>
      <c r="K19" s="409">
        <v>8.0000000000000002E-3</v>
      </c>
      <c r="L19" s="409">
        <v>0.01</v>
      </c>
      <c r="M19" s="409">
        <v>0.01</v>
      </c>
      <c r="N19" s="409">
        <v>0.01</v>
      </c>
      <c r="O19" s="409">
        <v>0.01</v>
      </c>
      <c r="P19" s="409">
        <v>1.2500000000000001E-2</v>
      </c>
      <c r="Q19" s="409">
        <v>1.2500000000000001E-2</v>
      </c>
      <c r="R19" s="409">
        <v>1.2500000000000001E-2</v>
      </c>
      <c r="S19" s="310"/>
    </row>
    <row r="20" spans="2:19" s="30" customFormat="1" ht="16.25" customHeight="1">
      <c r="B20" s="401" t="s">
        <v>390</v>
      </c>
      <c r="C20" s="410">
        <f t="shared" ref="C20:H20" si="37">C94*C18</f>
        <v>26442.3</v>
      </c>
      <c r="D20" s="410">
        <f t="shared" si="37"/>
        <v>23451.8</v>
      </c>
      <c r="E20" s="410">
        <f t="shared" si="37"/>
        <v>28963.1</v>
      </c>
      <c r="F20" s="410">
        <f t="shared" si="37"/>
        <v>32154.500000000004</v>
      </c>
      <c r="G20" s="410">
        <f t="shared" si="37"/>
        <v>35951</v>
      </c>
      <c r="H20" s="410">
        <f t="shared" si="37"/>
        <v>36118.199999999997</v>
      </c>
      <c r="I20" s="411">
        <f t="shared" ref="I20:R20" si="38">I18*I94</f>
        <v>37363.71371249378</v>
      </c>
      <c r="J20" s="411">
        <f t="shared" si="38"/>
        <v>38653.496576002464</v>
      </c>
      <c r="K20" s="411">
        <f t="shared" si="38"/>
        <v>39989.165383257605</v>
      </c>
      <c r="L20" s="411">
        <f t="shared" si="38"/>
        <v>41454.485447571213</v>
      </c>
      <c r="M20" s="411">
        <f t="shared" si="38"/>
        <v>42974.961810282468</v>
      </c>
      <c r="N20" s="411">
        <f t="shared" si="38"/>
        <v>44552.721633328467</v>
      </c>
      <c r="O20" s="411">
        <f t="shared" si="38"/>
        <v>46189.975847150665</v>
      </c>
      <c r="P20" s="411">
        <f t="shared" si="38"/>
        <v>48007.559691360788</v>
      </c>
      <c r="Q20" s="411">
        <f t="shared" si="38"/>
        <v>49898.357716339997</v>
      </c>
      <c r="R20" s="411">
        <f t="shared" si="38"/>
        <v>51865.382291621681</v>
      </c>
      <c r="S20" s="332">
        <f>(R20/I20)^(1/9)-1</f>
        <v>3.7111101451243744E-2</v>
      </c>
    </row>
    <row r="21" spans="2:19" s="30" customFormat="1" ht="16.25" customHeight="1">
      <c r="B21" s="400" t="s">
        <v>275</v>
      </c>
      <c r="C21" s="288"/>
      <c r="D21" s="288"/>
      <c r="E21" s="288"/>
      <c r="F21" s="288"/>
      <c r="G21" s="288"/>
      <c r="H21" s="288"/>
      <c r="I21" s="412">
        <f>(I20-H10)/H10</f>
        <v>3.4484379412423181E-2</v>
      </c>
      <c r="J21" s="412">
        <f t="shared" ref="J21" si="39">(J20-I20)/I20</f>
        <v>3.4519664544946004E-2</v>
      </c>
      <c r="K21" s="412">
        <f t="shared" ref="K21" si="40">(K20-J20)/J20</f>
        <v>3.4554928417119546E-2</v>
      </c>
      <c r="L21" s="412">
        <f t="shared" ref="L21" si="41">(L20-K20)/K20</f>
        <v>3.6642926909574818E-2</v>
      </c>
      <c r="M21" s="412">
        <f t="shared" ref="M21" si="42">(M20-L20)/L20</f>
        <v>3.6678210965475605E-2</v>
      </c>
      <c r="N21" s="412">
        <f t="shared" ref="N21" si="43">(N20-M20)/M20</f>
        <v>3.6713466553180134E-2</v>
      </c>
      <c r="O21" s="412">
        <f t="shared" ref="O21" si="44">(O20-N20)/N20</f>
        <v>3.6748691298747062E-2</v>
      </c>
      <c r="P21" s="412">
        <f t="shared" ref="P21" si="45">(P20-O20)/O20</f>
        <v>3.9350179576295337E-2</v>
      </c>
      <c r="Q21" s="412">
        <f t="shared" ref="Q21" si="46">(Q20-P20)/P20</f>
        <v>3.9385422569593098E-2</v>
      </c>
      <c r="R21" s="412">
        <f t="shared" ref="R21" si="47">(R20-Q20)/Q20</f>
        <v>3.9420627557799397E-2</v>
      </c>
      <c r="S21" s="310"/>
    </row>
    <row r="22" spans="2:19" s="30" customFormat="1" ht="16.25" customHeight="1">
      <c r="B22" s="415" t="s">
        <v>345</v>
      </c>
      <c r="C22" s="413">
        <f>(H18/E18)^(1/3)-1</f>
        <v>1.6253617737037374E-2</v>
      </c>
      <c r="D22" s="32"/>
      <c r="E22" s="32"/>
      <c r="F22" s="32"/>
      <c r="G22" s="32"/>
      <c r="H22" s="32"/>
      <c r="I22" s="414"/>
      <c r="J22" s="414"/>
      <c r="K22" s="414"/>
      <c r="L22" s="414"/>
      <c r="M22" s="414"/>
      <c r="N22" s="414"/>
      <c r="O22" s="414"/>
      <c r="P22" s="414"/>
      <c r="Q22" s="414"/>
      <c r="R22" s="414"/>
      <c r="S22" s="215"/>
    </row>
    <row r="23" spans="2:19" s="30" customFormat="1" ht="16.25" customHeight="1">
      <c r="B23" s="415" t="s">
        <v>343</v>
      </c>
      <c r="C23" s="413">
        <f>(R18/I18)^(1/9)-1</f>
        <v>1.0387492921773545E-2</v>
      </c>
      <c r="D23" s="26"/>
      <c r="E23" s="26"/>
      <c r="F23" s="26"/>
      <c r="G23" s="26"/>
      <c r="H23" s="26"/>
      <c r="I23"/>
      <c r="J23"/>
      <c r="K23"/>
      <c r="L23"/>
      <c r="M23"/>
      <c r="N23"/>
      <c r="O23"/>
      <c r="P23"/>
      <c r="Q23"/>
      <c r="R23"/>
      <c r="S23" s="224"/>
    </row>
    <row r="24" spans="2:19" s="30" customFormat="1" ht="16.25" customHeight="1">
      <c r="B24" s="420"/>
      <c r="C24" s="402"/>
      <c r="D24" s="402"/>
      <c r="E24" s="402"/>
      <c r="F24" s="402"/>
      <c r="G24" s="402"/>
      <c r="H24" s="402"/>
      <c r="I24" s="402"/>
      <c r="J24" s="402"/>
      <c r="K24" s="402"/>
      <c r="L24" s="402"/>
      <c r="M24" s="402"/>
      <c r="N24" s="402"/>
      <c r="O24" s="402"/>
      <c r="P24" s="402"/>
      <c r="Q24" s="402"/>
      <c r="R24" s="402"/>
      <c r="S24" s="403"/>
    </row>
    <row r="25" spans="2:19" s="30" customFormat="1" ht="16.25" customHeight="1">
      <c r="B25" s="210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15"/>
    </row>
    <row r="26" spans="2:19" s="30" customFormat="1" ht="16.25" customHeight="1">
      <c r="B26" s="210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15"/>
    </row>
    <row r="27" spans="2:19" s="30" customFormat="1" ht="21">
      <c r="B27" s="421"/>
      <c r="C27" s="330"/>
      <c r="D27" s="330"/>
      <c r="E27" s="330"/>
      <c r="F27" s="330"/>
      <c r="G27" s="592" t="s">
        <v>391</v>
      </c>
      <c r="H27" s="592"/>
      <c r="I27" s="592"/>
      <c r="J27" s="592"/>
      <c r="K27" s="592"/>
      <c r="L27" s="592"/>
      <c r="M27" s="592"/>
      <c r="N27" s="330"/>
      <c r="O27" s="330"/>
      <c r="P27" s="330"/>
      <c r="Q27" s="330"/>
      <c r="R27" s="330"/>
      <c r="S27" s="422"/>
    </row>
    <row r="28" spans="2:19" s="30" customFormat="1" ht="16.25" customHeight="1">
      <c r="B28" s="397" t="s">
        <v>277</v>
      </c>
      <c r="C28" s="416">
        <v>2019</v>
      </c>
      <c r="D28" s="416">
        <v>2020</v>
      </c>
      <c r="E28" s="416">
        <v>2021</v>
      </c>
      <c r="F28" s="416">
        <v>2022</v>
      </c>
      <c r="G28" s="416">
        <v>2023</v>
      </c>
      <c r="H28" s="416">
        <v>2024</v>
      </c>
      <c r="I28" s="405">
        <v>2025</v>
      </c>
      <c r="J28" s="405">
        <v>2026</v>
      </c>
      <c r="K28" s="405">
        <v>2027</v>
      </c>
      <c r="L28" s="405">
        <v>2028</v>
      </c>
      <c r="M28" s="405">
        <v>2029</v>
      </c>
      <c r="N28" s="405">
        <v>2030</v>
      </c>
      <c r="O28" s="405">
        <v>2031</v>
      </c>
      <c r="P28" s="405">
        <v>2032</v>
      </c>
      <c r="Q28" s="405">
        <v>2033</v>
      </c>
      <c r="R28" s="405">
        <v>2034</v>
      </c>
      <c r="S28" s="215"/>
    </row>
    <row r="29" spans="2:19" s="30" customFormat="1" ht="16.25" customHeight="1">
      <c r="B29" s="397" t="s">
        <v>278</v>
      </c>
      <c r="C29" s="291">
        <v>15834</v>
      </c>
      <c r="D29" s="291">
        <v>16637</v>
      </c>
      <c r="E29" s="291">
        <v>17133</v>
      </c>
      <c r="F29" s="291">
        <v>18253</v>
      </c>
      <c r="G29" s="291">
        <v>19592</v>
      </c>
      <c r="H29" s="291">
        <v>21018</v>
      </c>
      <c r="I29" s="292">
        <f>H29*(1+I30)</f>
        <v>21690.576000000001</v>
      </c>
      <c r="J29" s="292">
        <f t="shared" ref="J29" si="48">I29*(1+J30)</f>
        <v>22384.674432</v>
      </c>
      <c r="K29" s="292">
        <f t="shared" ref="K29" si="49">J29*(1+K30)</f>
        <v>23100.984013824</v>
      </c>
      <c r="L29" s="292">
        <f t="shared" ref="L29" si="50">K29*(1+L30)</f>
        <v>23840.215502266368</v>
      </c>
      <c r="M29" s="292">
        <f t="shared" ref="M29" si="51">L29*(1+M30)</f>
        <v>24603.102398338891</v>
      </c>
      <c r="N29" s="292">
        <f t="shared" ref="N29" si="52">M29*(1+N30)</f>
        <v>25390.401675085737</v>
      </c>
      <c r="O29" s="292">
        <f t="shared" ref="O29" si="53">N29*(1+O30)</f>
        <v>26202.894528688481</v>
      </c>
      <c r="P29" s="292">
        <f t="shared" ref="P29" si="54">O29*(1+P30)</f>
        <v>27041.387153606513</v>
      </c>
      <c r="Q29" s="292">
        <f t="shared" ref="Q29" si="55">P29*(1+Q30)</f>
        <v>27906.711542521924</v>
      </c>
      <c r="R29" s="292">
        <f t="shared" ref="R29" si="56">Q29*(1+R30)</f>
        <v>28799.726311882627</v>
      </c>
      <c r="S29" s="215"/>
    </row>
    <row r="30" spans="2:19" s="30" customFormat="1" ht="16.25" customHeight="1">
      <c r="B30" s="417" t="s">
        <v>275</v>
      </c>
      <c r="C30" s="293"/>
      <c r="D30" s="294">
        <f>(D29-C29)/C29</f>
        <v>5.0713654161930022E-2</v>
      </c>
      <c r="E30" s="294">
        <f t="shared" ref="E30" si="57">(E29-D29)/D29</f>
        <v>2.9813067259722305E-2</v>
      </c>
      <c r="F30" s="294">
        <f t="shared" ref="F30" si="58">(F29-E29)/E29</f>
        <v>6.5370921613260954E-2</v>
      </c>
      <c r="G30" s="294">
        <f t="shared" ref="G30" si="59">(G29-F29)/F29</f>
        <v>7.3357804196570425E-2</v>
      </c>
      <c r="H30" s="294">
        <f t="shared" ref="H30" si="60">(H29-G29)/G29</f>
        <v>7.2784810126582278E-2</v>
      </c>
      <c r="I30" s="295">
        <v>3.2000000000000001E-2</v>
      </c>
      <c r="J30" s="295">
        <v>3.2000000000000001E-2</v>
      </c>
      <c r="K30" s="295">
        <v>3.2000000000000001E-2</v>
      </c>
      <c r="L30" s="295">
        <v>3.2000000000000001E-2</v>
      </c>
      <c r="M30" s="295">
        <v>3.2000000000000001E-2</v>
      </c>
      <c r="N30" s="295">
        <v>3.2000000000000001E-2</v>
      </c>
      <c r="O30" s="295">
        <v>3.2000000000000001E-2</v>
      </c>
      <c r="P30" s="295">
        <v>3.2000000000000001E-2</v>
      </c>
      <c r="Q30" s="295">
        <v>3.2000000000000001E-2</v>
      </c>
      <c r="R30" s="295">
        <v>3.2000000000000001E-2</v>
      </c>
      <c r="S30" s="215"/>
    </row>
    <row r="31" spans="2:19" s="30" customFormat="1" ht="16.25" customHeight="1">
      <c r="B31" s="397" t="s">
        <v>279</v>
      </c>
      <c r="C31" s="291">
        <v>15422</v>
      </c>
      <c r="D31" s="291">
        <v>16023</v>
      </c>
      <c r="E31" s="291">
        <v>16700</v>
      </c>
      <c r="F31" s="291">
        <v>17458</v>
      </c>
      <c r="G31" s="291">
        <v>18446</v>
      </c>
      <c r="H31" s="291">
        <v>19181</v>
      </c>
      <c r="I31" s="296">
        <f>H31*(1+I32)</f>
        <v>19564.62</v>
      </c>
      <c r="J31" s="296">
        <f t="shared" ref="J31" si="61">I31*(1+J32)</f>
        <v>19955.912400000001</v>
      </c>
      <c r="K31" s="296">
        <f t="shared" ref="K31" si="62">J31*(1+K32)</f>
        <v>20355.030648</v>
      </c>
      <c r="L31" s="296">
        <f t="shared" ref="L31" si="63">K31*(1+L32)</f>
        <v>20762.131260959999</v>
      </c>
      <c r="M31" s="296">
        <f t="shared" ref="M31" si="64">L31*(1+M32)</f>
        <v>21177.373886179201</v>
      </c>
      <c r="N31" s="296">
        <f t="shared" ref="N31" si="65">M31*(1+N32)</f>
        <v>21600.921363902784</v>
      </c>
      <c r="O31" s="296">
        <f t="shared" ref="O31" si="66">N31*(1+O32)</f>
        <v>22032.939791180841</v>
      </c>
      <c r="P31" s="296">
        <f t="shared" ref="P31" si="67">O31*(1+P32)</f>
        <v>22473.598587004457</v>
      </c>
      <c r="Q31" s="296">
        <f t="shared" ref="Q31" si="68">P31*(1+Q32)</f>
        <v>22923.070558744548</v>
      </c>
      <c r="R31" s="296">
        <f t="shared" ref="R31" si="69">Q31*(1+R32)</f>
        <v>23381.531969919441</v>
      </c>
      <c r="S31" s="215"/>
    </row>
    <row r="32" spans="2:19" s="30" customFormat="1" ht="16.25" customHeight="1">
      <c r="B32" s="417" t="s">
        <v>275</v>
      </c>
      <c r="C32" s="293"/>
      <c r="D32" s="294">
        <f>(D31-C31)/C31</f>
        <v>3.8970302165737256E-2</v>
      </c>
      <c r="E32" s="294">
        <f t="shared" ref="E32" si="70">(E31-D31)/D31</f>
        <v>4.2251763090557323E-2</v>
      </c>
      <c r="F32" s="294">
        <f t="shared" ref="F32" si="71">(F31-E31)/E31</f>
        <v>4.5389221556886225E-2</v>
      </c>
      <c r="G32" s="294">
        <f t="shared" ref="G32" si="72">(G31-F31)/F31</f>
        <v>5.6592965975484022E-2</v>
      </c>
      <c r="H32" s="294">
        <f t="shared" ref="H32" si="73">(H31-G31)/G31</f>
        <v>3.9846037081210019E-2</v>
      </c>
      <c r="I32" s="297">
        <v>0.02</v>
      </c>
      <c r="J32" s="297">
        <v>0.02</v>
      </c>
      <c r="K32" s="297">
        <v>0.02</v>
      </c>
      <c r="L32" s="297">
        <v>0.02</v>
      </c>
      <c r="M32" s="297">
        <v>0.02</v>
      </c>
      <c r="N32" s="297">
        <v>0.02</v>
      </c>
      <c r="O32" s="297">
        <v>0.02</v>
      </c>
      <c r="P32" s="297">
        <v>0.02</v>
      </c>
      <c r="Q32" s="297">
        <v>0.02</v>
      </c>
      <c r="R32" s="297">
        <v>0.02</v>
      </c>
      <c r="S32" s="304"/>
    </row>
    <row r="33" spans="2:19" s="30" customFormat="1" ht="16.25" customHeight="1">
      <c r="B33" s="397" t="s">
        <v>280</v>
      </c>
      <c r="C33" s="298">
        <v>31256</v>
      </c>
      <c r="D33" s="298">
        <v>32660</v>
      </c>
      <c r="E33" s="298">
        <v>33833</v>
      </c>
      <c r="F33" s="298">
        <v>35711</v>
      </c>
      <c r="G33" s="298">
        <v>38038</v>
      </c>
      <c r="H33" s="298">
        <v>40199</v>
      </c>
      <c r="I33" s="299">
        <f>I31+I29</f>
        <v>41255.195999999996</v>
      </c>
      <c r="J33" s="299">
        <f t="shared" ref="J33:R33" si="74">J31+J29</f>
        <v>42340.586832000001</v>
      </c>
      <c r="K33" s="299">
        <f t="shared" si="74"/>
        <v>43456.014661823996</v>
      </c>
      <c r="L33" s="299">
        <f t="shared" si="74"/>
        <v>44602.346763226364</v>
      </c>
      <c r="M33" s="299">
        <f t="shared" si="74"/>
        <v>45780.476284518096</v>
      </c>
      <c r="N33" s="299">
        <f t="shared" si="74"/>
        <v>46991.323038988521</v>
      </c>
      <c r="O33" s="299">
        <f t="shared" si="74"/>
        <v>48235.834319869318</v>
      </c>
      <c r="P33" s="299">
        <f t="shared" si="74"/>
        <v>49514.985740610966</v>
      </c>
      <c r="Q33" s="299">
        <f t="shared" si="74"/>
        <v>50829.782101266472</v>
      </c>
      <c r="R33" s="299">
        <f t="shared" si="74"/>
        <v>52181.258281802067</v>
      </c>
      <c r="S33" s="215"/>
    </row>
    <row r="34" spans="2:19" s="30" customFormat="1" ht="16.25" customHeight="1">
      <c r="B34" s="418" t="s">
        <v>281</v>
      </c>
      <c r="C34" s="281"/>
      <c r="D34" s="300">
        <f>(D33-C33)/C33</f>
        <v>4.4919375479907861E-2</v>
      </c>
      <c r="E34" s="300">
        <f t="shared" ref="E34" si="75">(E33-D33)/D33</f>
        <v>3.591549295774648E-2</v>
      </c>
      <c r="F34" s="300">
        <f t="shared" ref="F34" si="76">(F33-E33)/E33</f>
        <v>5.550793603877871E-2</v>
      </c>
      <c r="G34" s="300">
        <f t="shared" ref="G34" si="77">(G33-F33)/F33</f>
        <v>6.5161994903531126E-2</v>
      </c>
      <c r="H34" s="300">
        <f t="shared" ref="H34" si="78">(H33-G33)/G33</f>
        <v>5.6811609443188388E-2</v>
      </c>
      <c r="I34" s="301">
        <f>(I33-H33)/H33</f>
        <v>2.6274185925022918E-2</v>
      </c>
      <c r="J34" s="301">
        <f t="shared" ref="J34" si="79">(J33-I33)/I33</f>
        <v>2.6309191016811669E-2</v>
      </c>
      <c r="K34" s="301">
        <f t="shared" ref="K34" si="80">(K33-J33)/J33</f>
        <v>2.6344175016983502E-2</v>
      </c>
      <c r="L34" s="301">
        <f t="shared" ref="L34" si="81">(L33-K33)/K33</f>
        <v>2.6379135554034542E-2</v>
      </c>
      <c r="M34" s="301">
        <f t="shared" ref="M34" si="82">(M33-L33)/L33</f>
        <v>2.64140702628471E-2</v>
      </c>
      <c r="N34" s="301">
        <f t="shared" ref="N34" si="83">(N33-M33)/M33</f>
        <v>2.6448976785326848E-2</v>
      </c>
      <c r="O34" s="301">
        <f t="shared" ref="O34" si="84">(O33-N33)/N33</f>
        <v>2.6483852771036705E-2</v>
      </c>
      <c r="P34" s="301">
        <f t="shared" ref="P34" si="85">(P33-O33)/O33</f>
        <v>2.6518695877822501E-2</v>
      </c>
      <c r="Q34" s="301">
        <f t="shared" ref="Q34" si="86">(Q33-P33)/P33</f>
        <v>2.6553503772437571E-2</v>
      </c>
      <c r="R34" s="301">
        <f t="shared" ref="R34" si="87">(R33-Q33)/Q33</f>
        <v>2.6588274131159856E-2</v>
      </c>
      <c r="S34" s="304"/>
    </row>
    <row r="35" spans="2:19" s="30" customFormat="1" ht="16.25" customHeight="1">
      <c r="B35" s="337" t="s">
        <v>381</v>
      </c>
      <c r="C35" s="338" t="s">
        <v>344</v>
      </c>
      <c r="D35" s="339" t="s">
        <v>343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215"/>
    </row>
    <row r="36" spans="2:19" s="30" customFormat="1" ht="16.25" customHeight="1">
      <c r="B36" s="340" t="s">
        <v>366</v>
      </c>
      <c r="C36" s="342">
        <f>(H29/C29)^(1/5)-1</f>
        <v>5.8278929690945391E-2</v>
      </c>
      <c r="D36" s="343">
        <f>(R29/I29)^(1/9)-1</f>
        <v>3.2000000000000028E-2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04"/>
    </row>
    <row r="37" spans="2:19" s="30" customFormat="1" ht="16.25" customHeight="1">
      <c r="B37" s="340" t="s">
        <v>367</v>
      </c>
      <c r="C37" s="342">
        <f>(H31/C31)^(1/5)-1</f>
        <v>4.4590590124395924E-2</v>
      </c>
      <c r="D37" s="343">
        <f>(R31/I31)^(1/9)-1</f>
        <v>2.0000000000000018E-2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306"/>
    </row>
    <row r="38" spans="2:19" s="30" customFormat="1" ht="16.25" customHeight="1">
      <c r="B38" s="341" t="s">
        <v>282</v>
      </c>
      <c r="C38" s="344">
        <f>(H33/C33)^(1/5)-1</f>
        <v>5.1614026875494989E-2</v>
      </c>
      <c r="D38" s="345">
        <f>(R33/I33)^(1/9)-1</f>
        <v>2.6448871068457613E-2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306"/>
    </row>
    <row r="39" spans="2:19" s="30" customFormat="1" ht="16.25" customHeight="1" thickBot="1">
      <c r="B39" s="190"/>
      <c r="C39" s="307"/>
      <c r="D39" s="308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2"/>
    </row>
    <row r="40" spans="2:19" s="30" customFormat="1" ht="16.25" customHeight="1">
      <c r="B40" s="33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</row>
    <row r="41" spans="2:19" s="30" customFormat="1" ht="16.25" customHeight="1">
      <c r="B41" s="33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</row>
    <row r="42" spans="2:19" s="30" customFormat="1" ht="16.25" customHeight="1">
      <c r="B42" s="33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</row>
    <row r="43" spans="2:19" s="30" customFormat="1" ht="16.25" customHeight="1">
      <c r="B43" s="33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</row>
    <row r="44" spans="2:19" s="30" customFormat="1" ht="16.25" customHeight="1">
      <c r="B44" s="33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</row>
    <row r="45" spans="2:19" s="30" customFormat="1" ht="16.25" customHeight="1">
      <c r="B45" s="33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6" spans="2:19" s="30" customFormat="1" ht="16.25" customHeight="1">
      <c r="B46" s="33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</row>
    <row r="47" spans="2:19" s="30" customFormat="1" ht="16.25" customHeight="1">
      <c r="B47" s="327"/>
      <c r="D47" s="328"/>
      <c r="E47" s="328"/>
      <c r="F47" s="328"/>
      <c r="G47" s="328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26"/>
    </row>
    <row r="48" spans="2:19" s="30" customFormat="1" ht="16.25" customHeight="1">
      <c r="B48" s="327"/>
      <c r="D48" s="328"/>
      <c r="E48" s="328"/>
      <c r="F48" s="328"/>
      <c r="G48" s="328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26"/>
    </row>
    <row r="49" spans="2:23" s="30" customFormat="1" ht="16.25" customHeight="1" thickBot="1">
      <c r="B49" s="28"/>
      <c r="C49" s="28"/>
      <c r="D49" s="29"/>
      <c r="E49" s="29"/>
      <c r="F49" s="29"/>
      <c r="G49" s="29"/>
      <c r="H49" s="29"/>
      <c r="I49" s="191"/>
      <c r="J49" s="191"/>
      <c r="K49" s="191"/>
      <c r="L49" s="191"/>
      <c r="M49" s="191"/>
      <c r="N49" s="191"/>
      <c r="O49" s="191"/>
      <c r="P49" s="191"/>
      <c r="Q49" s="191"/>
      <c r="R49" s="191"/>
    </row>
    <row r="50" spans="2:23" s="30" customFormat="1" ht="18">
      <c r="B50" s="448" t="s">
        <v>364</v>
      </c>
      <c r="C50" s="450" t="s">
        <v>393</v>
      </c>
      <c r="D50" s="450" t="s">
        <v>393</v>
      </c>
      <c r="E50" s="450" t="s">
        <v>393</v>
      </c>
      <c r="F50" s="450" t="s">
        <v>393</v>
      </c>
      <c r="G50" s="450" t="s">
        <v>393</v>
      </c>
      <c r="H50" s="450" t="s">
        <v>393</v>
      </c>
      <c r="I50" s="447" t="s">
        <v>394</v>
      </c>
      <c r="J50" s="447" t="s">
        <v>394</v>
      </c>
      <c r="K50" s="447" t="s">
        <v>394</v>
      </c>
      <c r="L50" s="447" t="s">
        <v>394</v>
      </c>
      <c r="M50" s="447" t="s">
        <v>394</v>
      </c>
      <c r="N50" s="447" t="s">
        <v>394</v>
      </c>
      <c r="O50" s="447" t="s">
        <v>394</v>
      </c>
      <c r="P50" s="447" t="s">
        <v>394</v>
      </c>
      <c r="Q50" s="447" t="s">
        <v>394</v>
      </c>
      <c r="R50" s="451" t="s">
        <v>394</v>
      </c>
      <c r="S50" s="449"/>
      <c r="T50" s="213"/>
      <c r="U50" s="213"/>
      <c r="V50" s="213"/>
      <c r="W50" s="213"/>
    </row>
    <row r="51" spans="2:23" s="469" customFormat="1" ht="21">
      <c r="B51" s="463" t="s">
        <v>351</v>
      </c>
      <c r="C51" s="464">
        <v>2019</v>
      </c>
      <c r="D51" s="464">
        <f t="shared" ref="D51" si="88">C51+1</f>
        <v>2020</v>
      </c>
      <c r="E51" s="464">
        <f>D51+1</f>
        <v>2021</v>
      </c>
      <c r="F51" s="464">
        <f t="shared" ref="F51" si="89">E51+1</f>
        <v>2022</v>
      </c>
      <c r="G51" s="464">
        <f t="shared" ref="G51" si="90">F51+1</f>
        <v>2023</v>
      </c>
      <c r="H51" s="464">
        <f>G51+1</f>
        <v>2024</v>
      </c>
      <c r="I51" s="465" t="s">
        <v>363</v>
      </c>
      <c r="J51" s="466">
        <v>2026</v>
      </c>
      <c r="K51" s="466">
        <v>2027</v>
      </c>
      <c r="L51" s="466">
        <v>2028</v>
      </c>
      <c r="M51" s="466">
        <v>2029</v>
      </c>
      <c r="N51" s="466">
        <v>2030</v>
      </c>
      <c r="O51" s="466">
        <v>2031</v>
      </c>
      <c r="P51" s="466">
        <v>2032</v>
      </c>
      <c r="Q51" s="466">
        <v>2033</v>
      </c>
      <c r="R51" s="467">
        <v>2034</v>
      </c>
      <c r="S51" s="468"/>
    </row>
    <row r="52" spans="2:23" ht="16.25" customHeight="1">
      <c r="B52" s="442" t="s">
        <v>356</v>
      </c>
      <c r="C52" s="390">
        <f>'Income Statement'!F6</f>
        <v>26508.6</v>
      </c>
      <c r="D52" s="390">
        <f>'Income Statement'!G6</f>
        <v>23518</v>
      </c>
      <c r="E52" s="390">
        <f>'Income Statement'!H6</f>
        <v>29060.6</v>
      </c>
      <c r="F52" s="390">
        <f>'Income Statement'!I6</f>
        <v>32250.3</v>
      </c>
      <c r="G52" s="390">
        <f>'Income Statement'!J6</f>
        <v>35975.599999999999</v>
      </c>
      <c r="H52" s="390">
        <f>'Income Statement'!K6</f>
        <v>36176.199999999997</v>
      </c>
      <c r="I52" s="391">
        <f t="shared" ref="I52:R52" si="91">I10</f>
        <v>37248.588000000003</v>
      </c>
      <c r="J52" s="391">
        <f t="shared" si="91"/>
        <v>38415.424995000001</v>
      </c>
      <c r="K52" s="391">
        <f t="shared" si="91"/>
        <v>39639.760289775004</v>
      </c>
      <c r="L52" s="391">
        <f t="shared" si="91"/>
        <v>40904.632334587128</v>
      </c>
      <c r="M52" s="391">
        <f t="shared" si="91"/>
        <v>42211.430297933752</v>
      </c>
      <c r="N52" s="391">
        <f t="shared" si="91"/>
        <v>43674.010547371981</v>
      </c>
      <c r="O52" s="391">
        <f t="shared" si="91"/>
        <v>45192.405204358904</v>
      </c>
      <c r="P52" s="391">
        <f t="shared" si="91"/>
        <v>46768.962395319679</v>
      </c>
      <c r="Q52" s="391">
        <f t="shared" si="91"/>
        <v>48406.138001041028</v>
      </c>
      <c r="R52" s="452">
        <f t="shared" si="91"/>
        <v>50106.500945244275</v>
      </c>
      <c r="S52" s="31"/>
      <c r="T52" s="386"/>
    </row>
    <row r="53" spans="2:23" ht="16.25" customHeight="1">
      <c r="B53" s="441" t="s">
        <v>352</v>
      </c>
      <c r="C53" s="202">
        <f>-('Cash Flow '!F33)</f>
        <v>1806.6</v>
      </c>
      <c r="D53" s="202">
        <f>-('Cash Flow '!G33)</f>
        <v>1483.6</v>
      </c>
      <c r="E53" s="202">
        <f>-('Cash Flow '!H33)</f>
        <v>1470</v>
      </c>
      <c r="F53" s="202">
        <f>-('Cash Flow '!I33)</f>
        <v>1841.3</v>
      </c>
      <c r="G53" s="202">
        <f>-('Cash Flow '!J33)</f>
        <v>2333.6</v>
      </c>
      <c r="H53" s="202">
        <f>-('Cash Flow '!K33)</f>
        <v>2777.5</v>
      </c>
      <c r="I53" s="376">
        <f>I59+I60</f>
        <v>2907.5092800000011</v>
      </c>
      <c r="J53" s="376">
        <f>J59+J60</f>
        <v>2329.6151771999976</v>
      </c>
      <c r="K53" s="376">
        <f t="shared" ref="K53:N53" si="92">K59+K60</f>
        <v>2414.321889849004</v>
      </c>
      <c r="L53" s="376">
        <f t="shared" si="92"/>
        <v>1878.5480731158561</v>
      </c>
      <c r="M53" s="376">
        <f t="shared" si="92"/>
        <v>2447.3847693354965</v>
      </c>
      <c r="N53" s="376">
        <f t="shared" si="92"/>
        <v>2587.4355729824242</v>
      </c>
      <c r="O53" s="376">
        <f>O59+O60</f>
        <v>2679.8745496787146</v>
      </c>
      <c r="P53" s="376">
        <f>P59+P60</f>
        <v>2191.3474673399787</v>
      </c>
      <c r="Q53" s="376">
        <f>Q59+Q60</f>
        <v>1770.3388068242789</v>
      </c>
      <c r="R53" s="453">
        <f>R59+R60</f>
        <v>1801.3006026804148</v>
      </c>
      <c r="S53" s="384"/>
      <c r="T53" s="386"/>
    </row>
    <row r="54" spans="2:23" s="31" customFormat="1" ht="16.25" customHeight="1">
      <c r="B54" s="443" t="s">
        <v>357</v>
      </c>
      <c r="C54" s="216">
        <f t="shared" ref="C54:I54" si="93">C53/C52</f>
        <v>6.8151467825535869E-2</v>
      </c>
      <c r="D54" s="216">
        <f t="shared" si="93"/>
        <v>6.3083595543838758E-2</v>
      </c>
      <c r="E54" s="216">
        <f t="shared" si="93"/>
        <v>5.058395215515165E-2</v>
      </c>
      <c r="F54" s="216">
        <f t="shared" si="93"/>
        <v>5.7094042536038427E-2</v>
      </c>
      <c r="G54" s="216">
        <f t="shared" si="93"/>
        <v>6.4866187082355822E-2</v>
      </c>
      <c r="H54" s="216">
        <f t="shared" si="93"/>
        <v>7.6776997031197308E-2</v>
      </c>
      <c r="I54" s="217">
        <f t="shared" si="93"/>
        <v>7.8056899230650054E-2</v>
      </c>
      <c r="J54" s="217">
        <f t="shared" ref="J54" si="94">J53/J52</f>
        <v>6.0642702182865632E-2</v>
      </c>
      <c r="K54" s="217">
        <f t="shared" ref="K54" si="95">K53/K52</f>
        <v>6.0906571386905521E-2</v>
      </c>
      <c r="L54" s="217">
        <f t="shared" ref="L54" si="96">L53/L52</f>
        <v>4.5925069262325084E-2</v>
      </c>
      <c r="M54" s="217">
        <f t="shared" ref="M54" si="97">M53/M52</f>
        <v>5.7979195494242609E-2</v>
      </c>
      <c r="N54" s="217">
        <f t="shared" ref="N54" si="98">N53/N52</f>
        <v>5.92442860308399E-2</v>
      </c>
      <c r="O54" s="217">
        <f t="shared" ref="O54" si="99">O53/O52</f>
        <v>5.929922378683742E-2</v>
      </c>
      <c r="P54" s="217">
        <f t="shared" ref="P54" si="100">P53/P52</f>
        <v>4.6854737738617737E-2</v>
      </c>
      <c r="Q54" s="217">
        <f t="shared" ref="Q54" si="101">Q53/Q52</f>
        <v>3.6572610002190337E-2</v>
      </c>
      <c r="R54" s="454">
        <f t="shared" ref="R54" si="102">R53/R52</f>
        <v>3.5949439068771787E-2</v>
      </c>
      <c r="S54" s="183"/>
      <c r="T54" s="392"/>
    </row>
    <row r="55" spans="2:23" ht="16.25" customHeight="1">
      <c r="B55" s="442" t="s">
        <v>362</v>
      </c>
      <c r="C55" s="390">
        <f>'Balance Sheet'!F24</f>
        <v>6431.7</v>
      </c>
      <c r="D55" s="390">
        <f>'Balance Sheet'!G24</f>
        <v>14375.5</v>
      </c>
      <c r="E55" s="390">
        <f>'Balance Sheet'!H24</f>
        <v>14605.5</v>
      </c>
      <c r="F55" s="390">
        <f>'Balance Sheet'!I24</f>
        <v>14576.1</v>
      </c>
      <c r="G55" s="390">
        <f>'Balance Sheet'!J24</f>
        <v>15799.7</v>
      </c>
      <c r="H55" s="390">
        <f>'Balance Sheet'!K24</f>
        <v>17951.7</v>
      </c>
      <c r="I55" s="393">
        <f t="shared" ref="I55:N55" si="103">I52*I56</f>
        <v>19183.022820000002</v>
      </c>
      <c r="J55" s="393">
        <f>J52*J56</f>
        <v>19783.943872424999</v>
      </c>
      <c r="K55" s="393">
        <f t="shared" si="103"/>
        <v>20414.476549234128</v>
      </c>
      <c r="L55" s="393">
        <f t="shared" si="103"/>
        <v>20452.316167293564</v>
      </c>
      <c r="M55" s="393">
        <f t="shared" si="103"/>
        <v>21105.715148966876</v>
      </c>
      <c r="N55" s="393">
        <f t="shared" si="103"/>
        <v>21837.005273685991</v>
      </c>
      <c r="O55" s="393">
        <f>O52*O56</f>
        <v>22596.202602179452</v>
      </c>
      <c r="P55" s="393">
        <f>P52*P56</f>
        <v>22916.791573706643</v>
      </c>
      <c r="Q55" s="393">
        <f>Q52*Q56</f>
        <v>22750.884860489281</v>
      </c>
      <c r="R55" s="455">
        <f>R52*R56</f>
        <v>22547.925425359925</v>
      </c>
      <c r="S55" s="31"/>
      <c r="T55" s="387"/>
      <c r="U55" s="384"/>
    </row>
    <row r="56" spans="2:23" s="183" customFormat="1" ht="13.15">
      <c r="B56" s="443" t="s">
        <v>357</v>
      </c>
      <c r="C56" s="218">
        <f t="shared" ref="C56:G56" si="104">C55/C52</f>
        <v>0.24262692107467013</v>
      </c>
      <c r="D56" s="218">
        <f t="shared" si="104"/>
        <v>0.6112552087762565</v>
      </c>
      <c r="E56" s="218">
        <f t="shared" si="104"/>
        <v>0.5025876960558282</v>
      </c>
      <c r="F56" s="218">
        <f t="shared" si="104"/>
        <v>0.45196788867080306</v>
      </c>
      <c r="G56" s="218">
        <f t="shared" si="104"/>
        <v>0.4391782207940938</v>
      </c>
      <c r="H56" s="218">
        <f>H55/H52</f>
        <v>0.49622956529430956</v>
      </c>
      <c r="I56" s="378">
        <v>0.51500000000000001</v>
      </c>
      <c r="J56" s="378">
        <v>0.51500000000000001</v>
      </c>
      <c r="K56" s="378">
        <v>0.51500000000000001</v>
      </c>
      <c r="L56" s="378">
        <v>0.5</v>
      </c>
      <c r="M56" s="378">
        <v>0.5</v>
      </c>
      <c r="N56" s="378">
        <v>0.5</v>
      </c>
      <c r="O56" s="378">
        <v>0.5</v>
      </c>
      <c r="P56" s="378">
        <v>0.49</v>
      </c>
      <c r="Q56" s="378">
        <v>0.47</v>
      </c>
      <c r="R56" s="456">
        <v>0.45</v>
      </c>
      <c r="S56" s="219"/>
      <c r="T56" s="388"/>
    </row>
    <row r="57" spans="2:23" s="31" customFormat="1" ht="18">
      <c r="B57" s="443" t="s">
        <v>355</v>
      </c>
      <c r="C57" s="221"/>
      <c r="D57" s="221">
        <f t="shared" ref="D57:G57" si="105">(D55-C55)/D55</f>
        <v>0.55259295328858127</v>
      </c>
      <c r="E57" s="221">
        <f>(E55-D55)/E55</f>
        <v>1.5747492383006403E-2</v>
      </c>
      <c r="F57" s="221">
        <f t="shared" si="105"/>
        <v>-2.0170004322143534E-3</v>
      </c>
      <c r="G57" s="221">
        <f t="shared" si="105"/>
        <v>7.7444508440033685E-2</v>
      </c>
      <c r="H57" s="221">
        <f>(H55-G55)/H55</f>
        <v>0.11987722611229019</v>
      </c>
      <c r="I57" s="217">
        <f t="shared" ref="I57" si="106">(I55-H55)/I55</f>
        <v>6.4188153845922455E-2</v>
      </c>
      <c r="J57" s="217">
        <f t="shared" ref="J57" si="107">(J55-I55)/J55</f>
        <v>3.0374178995855598E-2</v>
      </c>
      <c r="K57" s="217">
        <f t="shared" ref="K57" si="108">(K55-J55)/K55</f>
        <v>3.0886546382340826E-2</v>
      </c>
      <c r="L57" s="217">
        <f t="shared" ref="L57" si="109">(L55-K55)/L55</f>
        <v>1.8501385246501758E-3</v>
      </c>
      <c r="M57" s="217">
        <f t="shared" ref="M57" si="110">(M55-L55)/M55</f>
        <v>3.0958390988485213E-2</v>
      </c>
      <c r="N57" s="217">
        <f t="shared" ref="N57" si="111">(N55-M55)/N55</f>
        <v>3.3488572061679787E-2</v>
      </c>
      <c r="O57" s="217">
        <f>(O55-N55)/O55</f>
        <v>3.3598447573674833E-2</v>
      </c>
      <c r="P57" s="217">
        <f>(P55-O55)/P55</f>
        <v>1.3989260691056601E-2</v>
      </c>
      <c r="Q57" s="217">
        <f t="shared" ref="Q57" si="112">(Q55-P55)/Q55</f>
        <v>-7.2923191442758797E-3</v>
      </c>
      <c r="R57" s="454">
        <f t="shared" ref="R57" si="113">(R55-Q55)/R55</f>
        <v>-9.0012465138404867E-3</v>
      </c>
      <c r="S57" s="219"/>
      <c r="T57" s="392"/>
    </row>
    <row r="58" spans="2:23" s="183" customFormat="1" ht="18">
      <c r="B58" s="443" t="s">
        <v>358</v>
      </c>
      <c r="C58" s="216">
        <f t="shared" ref="C58:H58" si="114">C53/C55</f>
        <v>0.28088996688278373</v>
      </c>
      <c r="D58" s="216">
        <f t="shared" si="114"/>
        <v>0.10320336683941428</v>
      </c>
      <c r="E58" s="216">
        <f t="shared" si="114"/>
        <v>0.100647016534867</v>
      </c>
      <c r="F58" s="216">
        <f t="shared" si="114"/>
        <v>0.12632322774953519</v>
      </c>
      <c r="G58" s="216">
        <f t="shared" si="114"/>
        <v>0.14769900694316979</v>
      </c>
      <c r="H58" s="216">
        <f t="shared" si="114"/>
        <v>0.15472072282847862</v>
      </c>
      <c r="I58" s="222">
        <f t="shared" ref="I58:N58" si="115">I53/I55</f>
        <v>0.15156679462262146</v>
      </c>
      <c r="J58" s="222">
        <f t="shared" si="115"/>
        <v>0.11775281977255464</v>
      </c>
      <c r="K58" s="222">
        <f t="shared" si="115"/>
        <v>0.11826518715903984</v>
      </c>
      <c r="L58" s="222">
        <f t="shared" si="115"/>
        <v>9.1850138524650168E-2</v>
      </c>
      <c r="M58" s="222">
        <f t="shared" si="115"/>
        <v>0.11595839098848522</v>
      </c>
      <c r="N58" s="222">
        <f t="shared" si="115"/>
        <v>0.1184885720616798</v>
      </c>
      <c r="O58" s="222">
        <f>O53/O55</f>
        <v>0.11859844757367484</v>
      </c>
      <c r="P58" s="222">
        <f>P53/P55</f>
        <v>9.5621913752281087E-2</v>
      </c>
      <c r="Q58" s="222">
        <f>Q53/Q55</f>
        <v>7.7814063834447528E-2</v>
      </c>
      <c r="R58" s="457">
        <f>R53/R55</f>
        <v>7.9887642375048404E-2</v>
      </c>
      <c r="S58" s="219"/>
      <c r="T58" s="389"/>
    </row>
    <row r="59" spans="2:23" s="183" customFormat="1" ht="18">
      <c r="B59" s="441" t="s">
        <v>353</v>
      </c>
      <c r="C59" s="202"/>
      <c r="D59" s="202">
        <f t="shared" ref="D59:I59" si="116">D55-C55</f>
        <v>7943.8</v>
      </c>
      <c r="E59" s="202">
        <f>E55-D55</f>
        <v>230</v>
      </c>
      <c r="F59" s="202">
        <f t="shared" si="116"/>
        <v>-29.399999999999636</v>
      </c>
      <c r="G59" s="202">
        <f t="shared" si="116"/>
        <v>1223.6000000000004</v>
      </c>
      <c r="H59" s="202">
        <f t="shared" si="116"/>
        <v>2152</v>
      </c>
      <c r="I59" s="379">
        <f t="shared" si="116"/>
        <v>1231.3228200000012</v>
      </c>
      <c r="J59" s="379">
        <f>J55-I55</f>
        <v>600.92105242499747</v>
      </c>
      <c r="K59" s="379">
        <f t="shared" ref="K59:N59" si="117">K55-J55</f>
        <v>630.53267680912904</v>
      </c>
      <c r="L59" s="379">
        <f t="shared" si="117"/>
        <v>37.839618059435452</v>
      </c>
      <c r="M59" s="379">
        <f t="shared" si="117"/>
        <v>653.39898167331194</v>
      </c>
      <c r="N59" s="379">
        <f t="shared" si="117"/>
        <v>731.29012471911483</v>
      </c>
      <c r="O59" s="379">
        <f>O55-N55</f>
        <v>759.1973284934611</v>
      </c>
      <c r="P59" s="379">
        <f>P55-O55</f>
        <v>320.58897152719146</v>
      </c>
      <c r="Q59" s="379">
        <f>Q55-P55</f>
        <v>-165.90671321736227</v>
      </c>
      <c r="R59" s="458">
        <f>R55-Q55</f>
        <v>-202.95943512935628</v>
      </c>
      <c r="S59" s="384"/>
      <c r="T59" s="389"/>
    </row>
    <row r="60" spans="2:23" s="183" customFormat="1" ht="18">
      <c r="B60" s="444" t="s">
        <v>354</v>
      </c>
      <c r="C60" s="26">
        <f>'Income Statement'!F29</f>
        <v>1377.3</v>
      </c>
      <c r="D60" s="26">
        <f>'Income Statement'!G29</f>
        <v>1431.3</v>
      </c>
      <c r="E60" s="26">
        <f>'Income Statement'!H29</f>
        <v>1441.7</v>
      </c>
      <c r="F60" s="26">
        <f>'Income Statement'!I29</f>
        <v>1447.9</v>
      </c>
      <c r="G60" s="26">
        <f>'Income Statement'!J29</f>
        <v>1362.6</v>
      </c>
      <c r="H60" s="26">
        <f>'Income Statement'!K29</f>
        <v>1512.6</v>
      </c>
      <c r="I60" s="377">
        <f t="shared" ref="I60:N60" si="118">I52*I61</f>
        <v>1676.1864600000001</v>
      </c>
      <c r="J60" s="377">
        <f>J52*J61</f>
        <v>1728.6941247750001</v>
      </c>
      <c r="K60" s="377">
        <f t="shared" si="118"/>
        <v>1783.7892130398752</v>
      </c>
      <c r="L60" s="377">
        <f t="shared" si="118"/>
        <v>1840.7084550564207</v>
      </c>
      <c r="M60" s="377">
        <f t="shared" si="118"/>
        <v>1793.9857876621845</v>
      </c>
      <c r="N60" s="377">
        <f t="shared" si="118"/>
        <v>1856.1454482633094</v>
      </c>
      <c r="O60" s="377">
        <f>O52*O61</f>
        <v>1920.6772211852535</v>
      </c>
      <c r="P60" s="377">
        <f>P52*P61</f>
        <v>1870.7584958127873</v>
      </c>
      <c r="Q60" s="377">
        <f>Q52*Q61</f>
        <v>1936.2455200416412</v>
      </c>
      <c r="R60" s="459">
        <f>R52*R61</f>
        <v>2004.2600378097711</v>
      </c>
      <c r="S60" s="220"/>
      <c r="T60" s="389"/>
    </row>
    <row r="61" spans="2:23" ht="16.25" customHeight="1">
      <c r="B61" s="445" t="s">
        <v>357</v>
      </c>
      <c r="C61" s="223">
        <f t="shared" ref="C61:H61" si="119">C60/C52</f>
        <v>5.1956723478418329E-2</v>
      </c>
      <c r="D61" s="223">
        <f t="shared" si="119"/>
        <v>6.0859766986988688E-2</v>
      </c>
      <c r="E61" s="223">
        <f t="shared" si="119"/>
        <v>4.9610125049035468E-2</v>
      </c>
      <c r="F61" s="223">
        <f t="shared" si="119"/>
        <v>4.489570639652965E-2</v>
      </c>
      <c r="G61" s="223">
        <f t="shared" si="119"/>
        <v>3.7875671288317633E-2</v>
      </c>
      <c r="H61" s="223">
        <f t="shared" si="119"/>
        <v>4.1812020057385796E-2</v>
      </c>
      <c r="I61" s="380">
        <v>4.4999999999999998E-2</v>
      </c>
      <c r="J61" s="380">
        <v>4.4999999999999998E-2</v>
      </c>
      <c r="K61" s="380">
        <v>4.4999999999999998E-2</v>
      </c>
      <c r="L61" s="380">
        <v>4.4999999999999998E-2</v>
      </c>
      <c r="M61" s="380">
        <v>4.2500000000000003E-2</v>
      </c>
      <c r="N61" s="380">
        <v>4.2500000000000003E-2</v>
      </c>
      <c r="O61" s="380">
        <v>4.2500000000000003E-2</v>
      </c>
      <c r="P61" s="381">
        <v>0.04</v>
      </c>
      <c r="Q61" s="381">
        <v>0.04</v>
      </c>
      <c r="R61" s="460">
        <v>0.04</v>
      </c>
      <c r="S61" s="385"/>
      <c r="T61" s="387"/>
      <c r="U61" s="384"/>
    </row>
    <row r="62" spans="2:23" ht="16.149999999999999" customHeight="1">
      <c r="B62" s="441" t="s">
        <v>359</v>
      </c>
      <c r="C62" s="220">
        <f t="shared" ref="C62:R62" si="120">C53/C94</f>
        <v>5.7800102380342971E-2</v>
      </c>
      <c r="D62" s="220">
        <f t="shared" si="120"/>
        <v>4.5425597060624615E-2</v>
      </c>
      <c r="E62" s="220">
        <f t="shared" si="120"/>
        <v>4.3448703928117519E-2</v>
      </c>
      <c r="F62" s="220">
        <f t="shared" si="120"/>
        <v>5.1561143625213517E-2</v>
      </c>
      <c r="G62" s="220">
        <f t="shared" si="120"/>
        <v>6.1349177138650818E-2</v>
      </c>
      <c r="H62" s="220">
        <f t="shared" si="120"/>
        <v>6.9093758551207737E-2</v>
      </c>
      <c r="I62" s="225">
        <f t="shared" si="120"/>
        <v>7.0476196016618156E-2</v>
      </c>
      <c r="J62" s="225">
        <f t="shared" si="120"/>
        <v>5.5020852366631116E-2</v>
      </c>
      <c r="K62" s="225">
        <f t="shared" si="120"/>
        <v>5.5557830340341355E-2</v>
      </c>
      <c r="L62" s="225">
        <f t="shared" si="120"/>
        <v>4.2117695803949869E-2</v>
      </c>
      <c r="M62" s="225">
        <f t="shared" si="120"/>
        <v>5.3459137343294653E-2</v>
      </c>
      <c r="N62" s="225">
        <f t="shared" si="120"/>
        <v>5.5061986035924951E-2</v>
      </c>
      <c r="O62" s="225">
        <f t="shared" si="120"/>
        <v>5.5557752601675635E-2</v>
      </c>
      <c r="P62" s="225">
        <f t="shared" si="120"/>
        <v>4.4256247569565386E-2</v>
      </c>
      <c r="Q62" s="225">
        <f t="shared" si="120"/>
        <v>3.4828770331875362E-2</v>
      </c>
      <c r="R62" s="461">
        <f t="shared" si="120"/>
        <v>3.452006835390186E-2</v>
      </c>
      <c r="T62" s="389"/>
    </row>
    <row r="63" spans="2:23" s="184" customFormat="1" ht="18">
      <c r="B63" s="441" t="s">
        <v>361</v>
      </c>
      <c r="C63" s="220">
        <f t="shared" ref="C63:R63" si="121">C55/C94</f>
        <v>0.20577489122088558</v>
      </c>
      <c r="D63" s="220">
        <f t="shared" si="121"/>
        <v>0.44015615431720762</v>
      </c>
      <c r="E63" s="220">
        <f t="shared" si="121"/>
        <v>0.4316939083143676</v>
      </c>
      <c r="F63" s="220">
        <f t="shared" si="121"/>
        <v>0.40816835148833691</v>
      </c>
      <c r="G63" s="220">
        <f t="shared" si="121"/>
        <v>0.41536621273463381</v>
      </c>
      <c r="H63" s="220">
        <f t="shared" si="121"/>
        <v>0.44657081021915968</v>
      </c>
      <c r="I63" s="225">
        <f t="shared" si="121"/>
        <v>0.46498440632787208</v>
      </c>
      <c r="J63" s="225">
        <f t="shared" si="121"/>
        <v>0.46725719581838127</v>
      </c>
      <c r="K63" s="225">
        <f t="shared" si="121"/>
        <v>0.46977332615749962</v>
      </c>
      <c r="L63" s="225">
        <f t="shared" si="121"/>
        <v>0.45854798349211617</v>
      </c>
      <c r="M63" s="225">
        <f t="shared" si="121"/>
        <v>0.46101999939446553</v>
      </c>
      <c r="N63" s="225">
        <f t="shared" si="121"/>
        <v>0.46470292516701245</v>
      </c>
      <c r="O63" s="225">
        <f t="shared" si="121"/>
        <v>0.46845261247759984</v>
      </c>
      <c r="P63" s="225">
        <f t="shared" si="121"/>
        <v>0.46282536955091674</v>
      </c>
      <c r="Q63" s="225">
        <f t="shared" si="121"/>
        <v>0.44758965944735818</v>
      </c>
      <c r="R63" s="461">
        <f t="shared" si="121"/>
        <v>0.43210773691180598</v>
      </c>
      <c r="S63" s="26"/>
      <c r="T63" s="389"/>
    </row>
    <row r="64" spans="2:23" ht="16.25" customHeight="1">
      <c r="B64" s="441" t="s">
        <v>360</v>
      </c>
      <c r="C64" s="382">
        <f>AVERAGE(C61:H61)</f>
        <v>4.783500220944592E-2</v>
      </c>
      <c r="D64" s="462"/>
      <c r="R64" s="215"/>
      <c r="T64" s="386"/>
    </row>
    <row r="65" spans="2:24" ht="16.25" customHeight="1">
      <c r="B65" s="441" t="s">
        <v>368</v>
      </c>
      <c r="C65" s="383">
        <f>AVERAGE(D56:H56)</f>
        <v>0.50024371591825822</v>
      </c>
      <c r="D65" s="462"/>
      <c r="I65" s="589"/>
      <c r="J65" s="589"/>
      <c r="K65" s="589"/>
      <c r="R65" s="215"/>
      <c r="T65" s="386"/>
    </row>
    <row r="66" spans="2:24" ht="16.25" customHeight="1">
      <c r="B66" s="441" t="s">
        <v>345</v>
      </c>
      <c r="C66" s="331">
        <f>(H55/E55)^(1/3)-1</f>
        <v>7.1181469000676234E-2</v>
      </c>
      <c r="R66" s="215"/>
      <c r="T66" s="386"/>
    </row>
    <row r="67" spans="2:24" ht="16.25" customHeight="1" thickBot="1">
      <c r="B67" s="446" t="s">
        <v>343</v>
      </c>
      <c r="C67" s="335">
        <f>(R55/I55)^(1/9)-1</f>
        <v>1.8119694420230426E-2</v>
      </c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2"/>
      <c r="S67" s="211"/>
      <c r="T67" s="386"/>
    </row>
    <row r="68" spans="2:24" ht="16.25" customHeight="1">
      <c r="X68" s="386"/>
    </row>
    <row r="69" spans="2:24" ht="16.25" customHeight="1" thickBot="1">
      <c r="X69" s="386"/>
    </row>
    <row r="70" spans="2:24" ht="16.25" customHeight="1">
      <c r="B70" s="353" t="s">
        <v>273</v>
      </c>
      <c r="C70" s="354"/>
      <c r="D70" s="354"/>
      <c r="E70" s="354"/>
      <c r="F70" s="354"/>
      <c r="G70" s="354"/>
      <c r="H70" s="355"/>
    </row>
    <row r="71" spans="2:24" ht="16.25" customHeight="1">
      <c r="B71" s="227" t="s">
        <v>268</v>
      </c>
      <c r="C71" s="284">
        <v>2019</v>
      </c>
      <c r="D71" s="284">
        <v>2020</v>
      </c>
      <c r="E71" s="284">
        <v>2021</v>
      </c>
      <c r="F71" s="284">
        <v>2022</v>
      </c>
      <c r="G71" s="284">
        <v>2023</v>
      </c>
      <c r="H71" s="311">
        <v>2024</v>
      </c>
    </row>
    <row r="72" spans="2:24" ht="16.25" customHeight="1">
      <c r="B72" s="227" t="s">
        <v>269</v>
      </c>
      <c r="C72" s="25">
        <v>0.68899999999999995</v>
      </c>
      <c r="D72" s="25">
        <v>0.69699999999999995</v>
      </c>
      <c r="E72" s="25">
        <v>0.70399999999999996</v>
      </c>
      <c r="F72" s="25">
        <v>0.72399999999999998</v>
      </c>
      <c r="G72" s="25">
        <v>0.73799999999999999</v>
      </c>
      <c r="H72" s="312">
        <v>0.747</v>
      </c>
    </row>
    <row r="73" spans="2:24" ht="16.25" customHeight="1">
      <c r="B73" s="227" t="s">
        <v>270</v>
      </c>
      <c r="C73" s="25">
        <v>0.23400000000000001</v>
      </c>
      <c r="D73" s="25">
        <v>0.219</v>
      </c>
      <c r="E73" s="25">
        <v>0.23799999999999999</v>
      </c>
      <c r="F73" s="25">
        <v>0.215</v>
      </c>
      <c r="G73" s="25">
        <v>0.20799999999999999</v>
      </c>
      <c r="H73" s="312">
        <v>0.20300000000000001</v>
      </c>
    </row>
    <row r="74" spans="2:24" ht="16.25" customHeight="1" thickBot="1">
      <c r="B74" s="313" t="s">
        <v>271</v>
      </c>
      <c r="C74" s="314">
        <v>7.4999999999999997E-2</v>
      </c>
      <c r="D74" s="314">
        <v>8.2000000000000003E-2</v>
      </c>
      <c r="E74" s="314">
        <v>5.5E-2</v>
      </c>
      <c r="F74" s="314">
        <v>5.7000000000000002E-2</v>
      </c>
      <c r="G74" s="314">
        <v>5.2999999999999999E-2</v>
      </c>
      <c r="H74" s="315">
        <v>4.9000000000000002E-2</v>
      </c>
    </row>
    <row r="75" spans="2:24" ht="16.25" customHeight="1">
      <c r="B75" s="24"/>
      <c r="C75" s="25"/>
      <c r="D75" s="25"/>
      <c r="E75" s="25"/>
      <c r="F75" s="25"/>
      <c r="G75" s="25"/>
      <c r="H75" s="25"/>
    </row>
    <row r="76" spans="2:24" ht="16.25" customHeight="1" thickBot="1">
      <c r="B76" s="24"/>
      <c r="C76" s="25"/>
      <c r="D76" s="25"/>
      <c r="E76" s="25"/>
      <c r="F76" s="25"/>
      <c r="G76" s="25"/>
      <c r="H76" s="25"/>
    </row>
    <row r="77" spans="2:24" ht="16.25" customHeight="1">
      <c r="B77" s="203" t="s">
        <v>365</v>
      </c>
      <c r="C77" s="204">
        <f>2014+1</f>
        <v>2015</v>
      </c>
      <c r="D77" s="204">
        <f t="shared" ref="D77:L77" si="122">C77+1</f>
        <v>2016</v>
      </c>
      <c r="E77" s="204">
        <f t="shared" si="122"/>
        <v>2017</v>
      </c>
      <c r="F77" s="204">
        <f t="shared" si="122"/>
        <v>2018</v>
      </c>
      <c r="G77" s="204">
        <f t="shared" si="122"/>
        <v>2019</v>
      </c>
      <c r="H77" s="204">
        <f t="shared" si="122"/>
        <v>2020</v>
      </c>
      <c r="I77" s="204">
        <f>H77+1</f>
        <v>2021</v>
      </c>
      <c r="J77" s="204">
        <f t="shared" si="122"/>
        <v>2022</v>
      </c>
      <c r="K77" s="204">
        <f t="shared" si="122"/>
        <v>2023</v>
      </c>
      <c r="L77" s="205">
        <f t="shared" si="122"/>
        <v>2024</v>
      </c>
    </row>
    <row r="78" spans="2:24" ht="16.25" customHeight="1">
      <c r="B78" s="206" t="s">
        <v>372</v>
      </c>
      <c r="C78" s="202">
        <f>'Balance Sheet'!B11+'Balance Sheet'!B13+'Balance Sheet'!B22</f>
        <v>2308.8000000000002</v>
      </c>
      <c r="D78" s="202">
        <f>'Balance Sheet'!C11+'Balance Sheet'!C13+'Balance Sheet'!C22</f>
        <v>2469.6000000000004</v>
      </c>
      <c r="E78" s="202">
        <f>'Balance Sheet'!D11+'Balance Sheet'!D13+'Balance Sheet'!D22</f>
        <v>2568.1</v>
      </c>
      <c r="F78" s="202">
        <f>'Balance Sheet'!E11+'Balance Sheet'!E13+'Balance Sheet'!E22</f>
        <v>3546</v>
      </c>
      <c r="G78" s="202">
        <f>'Balance Sheet'!F11+'Balance Sheet'!F13+'Balance Sheet'!F22</f>
        <v>2884.2000000000003</v>
      </c>
      <c r="H78" s="202">
        <f>'Balance Sheet'!G11+'Balance Sheet'!G13+'Balance Sheet'!G22</f>
        <v>2801.8</v>
      </c>
      <c r="I78" s="202">
        <f>'Balance Sheet'!H11+'Balance Sheet'!H13+'Balance Sheet'!H22</f>
        <v>2970.2000000000003</v>
      </c>
      <c r="J78" s="202">
        <f>'Balance Sheet'!I11+'Balance Sheet'!I13+'Balance Sheet'!I22</f>
        <v>3733</v>
      </c>
      <c r="K78" s="202">
        <f>'Balance Sheet'!J11+'Balance Sheet'!J13+'Balance Sheet'!J22</f>
        <v>3309.4</v>
      </c>
      <c r="L78" s="207">
        <f>'Balance Sheet'!K11+'Balance Sheet'!K13+'Balance Sheet'!K22</f>
        <v>3299.4</v>
      </c>
    </row>
    <row r="79" spans="2:24" ht="16.25" customHeight="1">
      <c r="B79" s="206" t="s">
        <v>373</v>
      </c>
      <c r="C79" s="202">
        <f>'Balance Sheet'!B42+'Balance Sheet'!B53+'Balance Sheet'!B55</f>
        <v>1892.8</v>
      </c>
      <c r="D79" s="202">
        <f>'Balance Sheet'!C42+'Balance Sheet'!C53+'Balance Sheet'!C55</f>
        <v>2147.8000000000002</v>
      </c>
      <c r="E79" s="202">
        <f>'Balance Sheet'!D42+'Balance Sheet'!D53+'Balance Sheet'!D55</f>
        <v>2286.1999999999998</v>
      </c>
      <c r="F79" s="202">
        <f>'Balance Sheet'!E42+'Balance Sheet'!E53+'Balance Sheet'!E55</f>
        <v>2822.2</v>
      </c>
      <c r="G79" s="202">
        <f>'Balance Sheet'!F42+'Balance Sheet'!F53+'Balance Sheet'!F55</f>
        <v>2458.6999999999998</v>
      </c>
      <c r="H79" s="202">
        <f>'Balance Sheet'!G42+'Balance Sheet'!G53+'Balance Sheet'!G55</f>
        <v>2454.4</v>
      </c>
      <c r="I79" s="202">
        <f>'Balance Sheet'!H42+'Balance Sheet'!H53+'Balance Sheet'!H55</f>
        <v>2807.7</v>
      </c>
      <c r="J79" s="202">
        <f>'Balance Sheet'!I42+'Balance Sheet'!I53+'Balance Sheet'!I55</f>
        <v>2944.1000000000004</v>
      </c>
      <c r="K79" s="202">
        <f>'Balance Sheet'!J42+'Balance Sheet'!J53+'Balance Sheet'!J55</f>
        <v>3244.5</v>
      </c>
      <c r="L79" s="207">
        <f>'Balance Sheet'!K42+'Balance Sheet'!K53+'Balance Sheet'!K55</f>
        <v>3376.7</v>
      </c>
    </row>
    <row r="80" spans="2:24" ht="16.25" customHeight="1">
      <c r="B80" s="206" t="s">
        <v>374</v>
      </c>
      <c r="C80" s="202">
        <f>C78-C79</f>
        <v>416.00000000000023</v>
      </c>
      <c r="D80" s="202">
        <f t="shared" ref="D80:L80" si="123">D78-D79</f>
        <v>321.80000000000018</v>
      </c>
      <c r="E80" s="202">
        <f t="shared" si="123"/>
        <v>281.90000000000009</v>
      </c>
      <c r="F80" s="202">
        <f t="shared" si="123"/>
        <v>723.80000000000018</v>
      </c>
      <c r="G80" s="202">
        <f t="shared" si="123"/>
        <v>425.50000000000045</v>
      </c>
      <c r="H80" s="202">
        <f t="shared" si="123"/>
        <v>347.40000000000009</v>
      </c>
      <c r="I80" s="202">
        <f t="shared" si="123"/>
        <v>162.50000000000045</v>
      </c>
      <c r="J80" s="202">
        <f t="shared" si="123"/>
        <v>788.89999999999964</v>
      </c>
      <c r="K80" s="202">
        <f t="shared" si="123"/>
        <v>64.900000000000091</v>
      </c>
      <c r="L80" s="207">
        <f t="shared" si="123"/>
        <v>-77.299999999999727</v>
      </c>
    </row>
    <row r="81" spans="2:19" ht="16.25" customHeight="1">
      <c r="B81" s="208" t="str">
        <f>DCF!A38</f>
        <v>% of revenue</v>
      </c>
      <c r="C81" s="201">
        <f>DCF!B38</f>
        <v>2.1708840612231065E-2</v>
      </c>
      <c r="D81" s="201">
        <f>DCF!C38</f>
        <v>1.5096711844210199E-2</v>
      </c>
      <c r="E81" s="201">
        <f>DCF!D38</f>
        <v>1.2592241856808481E-2</v>
      </c>
      <c r="F81" s="201">
        <f>DCF!E38</f>
        <v>2.92805275187605E-2</v>
      </c>
      <c r="G81" s="201">
        <f>DCF!F38</f>
        <v>1.6051394641738926E-2</v>
      </c>
      <c r="H81" s="201">
        <f>DCF!G38</f>
        <v>1.4771664257164729E-2</v>
      </c>
      <c r="I81" s="201">
        <f>DCF!H38</f>
        <v>5.591763418511678E-3</v>
      </c>
      <c r="J81" s="201">
        <f>DCF!I38</f>
        <v>2.4461787952360124E-2</v>
      </c>
      <c r="K81" s="201">
        <f>DCF!J38</f>
        <v>1.8040004892204743E-3</v>
      </c>
      <c r="L81" s="209">
        <f>DCF!K38</f>
        <v>-2.1367639497791293E-3</v>
      </c>
    </row>
    <row r="82" spans="2:19" ht="16.25" customHeight="1">
      <c r="B82" s="206" t="s">
        <v>375</v>
      </c>
      <c r="C82" s="202"/>
      <c r="D82" s="202">
        <f>D80-C80</f>
        <v>-94.200000000000045</v>
      </c>
      <c r="E82" s="202">
        <f t="shared" ref="E82:L82" si="124">E80-D80</f>
        <v>-39.900000000000091</v>
      </c>
      <c r="F82" s="202">
        <f t="shared" si="124"/>
        <v>441.90000000000009</v>
      </c>
      <c r="G82" s="202">
        <f t="shared" si="124"/>
        <v>-298.29999999999973</v>
      </c>
      <c r="H82" s="202">
        <f t="shared" si="124"/>
        <v>-78.100000000000364</v>
      </c>
      <c r="I82" s="202">
        <f>I80-H80</f>
        <v>-184.89999999999964</v>
      </c>
      <c r="J82" s="202">
        <f t="shared" si="124"/>
        <v>626.39999999999918</v>
      </c>
      <c r="K82" s="202">
        <f t="shared" si="124"/>
        <v>-723.99999999999955</v>
      </c>
      <c r="L82" s="207">
        <f t="shared" si="124"/>
        <v>-142.19999999999982</v>
      </c>
    </row>
    <row r="83" spans="2:19" ht="14.75" customHeight="1">
      <c r="B83" s="210"/>
      <c r="C83" s="202"/>
      <c r="D83" s="202"/>
      <c r="E83" s="202"/>
      <c r="F83" s="202"/>
      <c r="G83" s="202"/>
      <c r="H83" s="202"/>
      <c r="I83" s="202"/>
      <c r="J83" s="588" t="s">
        <v>379</v>
      </c>
      <c r="K83" s="588"/>
      <c r="L83" s="336">
        <f>AVERAGE(I81:L81)</f>
        <v>7.4301969775782874E-3</v>
      </c>
    </row>
    <row r="84" spans="2:19" ht="16.25" customHeight="1">
      <c r="B84" s="593" t="s">
        <v>376</v>
      </c>
      <c r="C84" s="594"/>
      <c r="D84" s="202"/>
      <c r="E84" s="202"/>
      <c r="F84" s="202"/>
      <c r="G84" s="202"/>
      <c r="H84" s="202"/>
      <c r="I84" s="202"/>
      <c r="J84" s="588" t="s">
        <v>380</v>
      </c>
      <c r="K84" s="588"/>
      <c r="L84" s="336">
        <f>AVERAGE(C81:L81)</f>
        <v>1.3922216864122705E-2</v>
      </c>
    </row>
    <row r="85" spans="2:19" ht="16.25" customHeight="1">
      <c r="B85" s="593" t="s">
        <v>377</v>
      </c>
      <c r="C85" s="594"/>
      <c r="D85" s="594"/>
      <c r="E85" s="594"/>
      <c r="F85" s="594"/>
      <c r="G85" s="594"/>
      <c r="H85" s="202"/>
      <c r="I85" s="202"/>
      <c r="J85" s="202"/>
      <c r="K85" s="202"/>
      <c r="L85" s="207"/>
    </row>
    <row r="86" spans="2:19" ht="16.25" customHeight="1" thickBot="1">
      <c r="B86" s="586" t="s">
        <v>378</v>
      </c>
      <c r="C86" s="587"/>
      <c r="D86" s="587"/>
      <c r="E86" s="587"/>
      <c r="F86" s="211"/>
      <c r="G86" s="211"/>
      <c r="H86" s="211"/>
      <c r="I86" s="211"/>
      <c r="J86" s="211"/>
      <c r="K86" s="211"/>
      <c r="L86" s="212"/>
    </row>
    <row r="87" spans="2:19" ht="16.25" customHeight="1" thickBot="1">
      <c r="B87" s="49"/>
      <c r="C87" s="49"/>
      <c r="D87" s="49"/>
      <c r="E87" s="49"/>
    </row>
    <row r="88" spans="2:19" ht="16.25" customHeight="1">
      <c r="B88" s="302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</row>
    <row r="89" spans="2:19" ht="16.25" customHeight="1" thickBot="1">
      <c r="B89" s="227" t="s">
        <v>277</v>
      </c>
      <c r="C89" s="284">
        <v>2019</v>
      </c>
      <c r="D89" s="284">
        <v>2020</v>
      </c>
      <c r="E89" s="284">
        <v>2021</v>
      </c>
      <c r="F89" s="284">
        <v>2022</v>
      </c>
      <c r="G89" s="284">
        <v>2023</v>
      </c>
      <c r="H89" s="284">
        <v>2024</v>
      </c>
      <c r="I89" s="282">
        <v>2025</v>
      </c>
      <c r="J89" s="282">
        <v>2026</v>
      </c>
      <c r="K89" s="282">
        <v>2027</v>
      </c>
      <c r="L89" s="282">
        <v>2028</v>
      </c>
      <c r="M89" s="282">
        <v>2029</v>
      </c>
      <c r="N89" s="282">
        <v>2030</v>
      </c>
      <c r="O89" s="282">
        <v>2031</v>
      </c>
      <c r="P89" s="282">
        <v>2032</v>
      </c>
      <c r="Q89" s="282">
        <v>2033</v>
      </c>
      <c r="R89" s="282">
        <v>2034</v>
      </c>
    </row>
    <row r="90" spans="2:19" ht="16.25" customHeight="1">
      <c r="B90" s="227" t="s">
        <v>278</v>
      </c>
      <c r="C90" s="291">
        <v>15834</v>
      </c>
      <c r="D90" s="291">
        <v>16637</v>
      </c>
      <c r="E90" s="291">
        <v>17133</v>
      </c>
      <c r="F90" s="291">
        <v>18253</v>
      </c>
      <c r="G90" s="291">
        <v>19592</v>
      </c>
      <c r="H90" s="291">
        <v>21018</v>
      </c>
      <c r="I90" s="292">
        <f>H90*(1+I91)</f>
        <v>21690.576000000001</v>
      </c>
      <c r="J90" s="292">
        <f t="shared" ref="J90:R90" si="125">I90*(1+J91)</f>
        <v>22384.674432</v>
      </c>
      <c r="K90" s="292">
        <f t="shared" si="125"/>
        <v>23100.984013824</v>
      </c>
      <c r="L90" s="292">
        <f t="shared" si="125"/>
        <v>23840.215502266368</v>
      </c>
      <c r="M90" s="292">
        <f t="shared" si="125"/>
        <v>24603.102398338891</v>
      </c>
      <c r="N90" s="292">
        <f t="shared" si="125"/>
        <v>25390.401675085737</v>
      </c>
      <c r="O90" s="292">
        <f t="shared" si="125"/>
        <v>26202.894528688481</v>
      </c>
      <c r="P90" s="292">
        <f t="shared" si="125"/>
        <v>27041.387153606513</v>
      </c>
      <c r="Q90" s="292">
        <f t="shared" si="125"/>
        <v>27906.711542521924</v>
      </c>
      <c r="R90" s="292">
        <f t="shared" si="125"/>
        <v>28799.726311882627</v>
      </c>
      <c r="S90" s="214"/>
    </row>
    <row r="91" spans="2:19" ht="16.25" customHeight="1">
      <c r="B91" s="303" t="s">
        <v>275</v>
      </c>
      <c r="C91" s="293"/>
      <c r="D91" s="294">
        <f>(D90-C90)/C90</f>
        <v>5.0713654161930022E-2</v>
      </c>
      <c r="E91" s="294">
        <f t="shared" ref="E91:H91" si="126">(E90-D90)/D90</f>
        <v>2.9813067259722305E-2</v>
      </c>
      <c r="F91" s="294">
        <f t="shared" si="126"/>
        <v>6.5370921613260954E-2</v>
      </c>
      <c r="G91" s="294">
        <f t="shared" si="126"/>
        <v>7.3357804196570425E-2</v>
      </c>
      <c r="H91" s="294">
        <f t="shared" si="126"/>
        <v>7.2784810126582278E-2</v>
      </c>
      <c r="I91" s="295">
        <v>3.2000000000000001E-2</v>
      </c>
      <c r="J91" s="295">
        <v>3.2000000000000001E-2</v>
      </c>
      <c r="K91" s="295">
        <v>3.2000000000000001E-2</v>
      </c>
      <c r="L91" s="295">
        <v>3.2000000000000001E-2</v>
      </c>
      <c r="M91" s="295">
        <v>3.2000000000000001E-2</v>
      </c>
      <c r="N91" s="295">
        <v>3.2000000000000001E-2</v>
      </c>
      <c r="O91" s="295">
        <v>3.2000000000000001E-2</v>
      </c>
      <c r="P91" s="295">
        <v>3.2000000000000001E-2</v>
      </c>
      <c r="Q91" s="295">
        <v>3.2000000000000001E-2</v>
      </c>
      <c r="R91" s="295">
        <v>3.2000000000000001E-2</v>
      </c>
      <c r="S91" s="215"/>
    </row>
    <row r="92" spans="2:19" ht="16.25" customHeight="1">
      <c r="B92" s="227" t="s">
        <v>279</v>
      </c>
      <c r="C92" s="291">
        <v>15422</v>
      </c>
      <c r="D92" s="291">
        <v>16023</v>
      </c>
      <c r="E92" s="291">
        <v>16700</v>
      </c>
      <c r="F92" s="291">
        <v>17458</v>
      </c>
      <c r="G92" s="291">
        <v>18446</v>
      </c>
      <c r="H92" s="291">
        <v>19181</v>
      </c>
      <c r="I92" s="296">
        <f>H92*(1+I93)</f>
        <v>19564.62</v>
      </c>
      <c r="J92" s="296">
        <f t="shared" ref="J92:R92" si="127">I92*(1+J93)</f>
        <v>19955.912400000001</v>
      </c>
      <c r="K92" s="296">
        <f t="shared" si="127"/>
        <v>20355.030648</v>
      </c>
      <c r="L92" s="296">
        <f t="shared" si="127"/>
        <v>20762.131260959999</v>
      </c>
      <c r="M92" s="296">
        <f t="shared" si="127"/>
        <v>21177.373886179201</v>
      </c>
      <c r="N92" s="296">
        <f t="shared" si="127"/>
        <v>21600.921363902784</v>
      </c>
      <c r="O92" s="296">
        <f t="shared" si="127"/>
        <v>22032.939791180841</v>
      </c>
      <c r="P92" s="296">
        <f t="shared" si="127"/>
        <v>22473.598587004457</v>
      </c>
      <c r="Q92" s="296">
        <f t="shared" si="127"/>
        <v>22923.070558744548</v>
      </c>
      <c r="R92" s="296">
        <f t="shared" si="127"/>
        <v>23381.531969919441</v>
      </c>
      <c r="S92" s="215"/>
    </row>
    <row r="93" spans="2:19" s="281" customFormat="1" ht="16.25" customHeight="1">
      <c r="B93" s="303" t="s">
        <v>275</v>
      </c>
      <c r="C93" s="293"/>
      <c r="D93" s="294">
        <f>(D92-C92)/C92</f>
        <v>3.8970302165737256E-2</v>
      </c>
      <c r="E93" s="294">
        <f t="shared" ref="E93:H93" si="128">(E92-D92)/D92</f>
        <v>4.2251763090557323E-2</v>
      </c>
      <c r="F93" s="294">
        <f t="shared" si="128"/>
        <v>4.5389221556886225E-2</v>
      </c>
      <c r="G93" s="294">
        <f t="shared" si="128"/>
        <v>5.6592965975484022E-2</v>
      </c>
      <c r="H93" s="294">
        <f t="shared" si="128"/>
        <v>3.9846037081210019E-2</v>
      </c>
      <c r="I93" s="297">
        <v>0.02</v>
      </c>
      <c r="J93" s="297">
        <v>0.02</v>
      </c>
      <c r="K93" s="297">
        <v>0.02</v>
      </c>
      <c r="L93" s="297">
        <v>0.02</v>
      </c>
      <c r="M93" s="297">
        <v>0.02</v>
      </c>
      <c r="N93" s="297">
        <v>0.02</v>
      </c>
      <c r="O93" s="297">
        <v>0.02</v>
      </c>
      <c r="P93" s="297">
        <v>0.02</v>
      </c>
      <c r="Q93" s="297">
        <v>0.02</v>
      </c>
      <c r="R93" s="297">
        <v>0.02</v>
      </c>
      <c r="S93" s="304"/>
    </row>
    <row r="94" spans="2:19" ht="16.25" customHeight="1">
      <c r="B94" s="227" t="s">
        <v>280</v>
      </c>
      <c r="C94" s="298">
        <v>31256</v>
      </c>
      <c r="D94" s="298">
        <v>32660</v>
      </c>
      <c r="E94" s="298">
        <v>33833</v>
      </c>
      <c r="F94" s="298">
        <v>35711</v>
      </c>
      <c r="G94" s="298">
        <v>38038</v>
      </c>
      <c r="H94" s="298">
        <v>40199</v>
      </c>
      <c r="I94" s="299">
        <f>I92+I90</f>
        <v>41255.195999999996</v>
      </c>
      <c r="J94" s="299">
        <f t="shared" ref="J94:R94" si="129">J92+J90</f>
        <v>42340.586832000001</v>
      </c>
      <c r="K94" s="299">
        <f t="shared" si="129"/>
        <v>43456.014661823996</v>
      </c>
      <c r="L94" s="299">
        <f t="shared" si="129"/>
        <v>44602.346763226364</v>
      </c>
      <c r="M94" s="299">
        <f t="shared" si="129"/>
        <v>45780.476284518096</v>
      </c>
      <c r="N94" s="299">
        <f t="shared" si="129"/>
        <v>46991.323038988521</v>
      </c>
      <c r="O94" s="299">
        <f t="shared" si="129"/>
        <v>48235.834319869318</v>
      </c>
      <c r="P94" s="299">
        <f t="shared" si="129"/>
        <v>49514.985740610966</v>
      </c>
      <c r="Q94" s="299">
        <f t="shared" si="129"/>
        <v>50829.782101266472</v>
      </c>
      <c r="R94" s="299">
        <f t="shared" si="129"/>
        <v>52181.258281802067</v>
      </c>
      <c r="S94" s="215"/>
    </row>
    <row r="95" spans="2:19" s="281" customFormat="1" ht="16.25" customHeight="1">
      <c r="B95" s="305" t="s">
        <v>281</v>
      </c>
      <c r="D95" s="300">
        <f>(D94-C94)/C94</f>
        <v>4.4919375479907861E-2</v>
      </c>
      <c r="E95" s="300">
        <f t="shared" ref="E95:H95" si="130">(E94-D94)/D94</f>
        <v>3.591549295774648E-2</v>
      </c>
      <c r="F95" s="300">
        <f t="shared" si="130"/>
        <v>5.550793603877871E-2</v>
      </c>
      <c r="G95" s="300">
        <f t="shared" si="130"/>
        <v>6.5161994903531126E-2</v>
      </c>
      <c r="H95" s="300">
        <f t="shared" si="130"/>
        <v>5.6811609443188388E-2</v>
      </c>
      <c r="I95" s="301">
        <f>(I94-H94)/H94</f>
        <v>2.6274185925022918E-2</v>
      </c>
      <c r="J95" s="301">
        <f t="shared" ref="J95" si="131">(J94-I94)/I94</f>
        <v>2.6309191016811669E-2</v>
      </c>
      <c r="K95" s="301">
        <f t="shared" ref="K95" si="132">(K94-J94)/J94</f>
        <v>2.6344175016983502E-2</v>
      </c>
      <c r="L95" s="301">
        <f t="shared" ref="L95" si="133">(L94-K94)/K94</f>
        <v>2.6379135554034542E-2</v>
      </c>
      <c r="M95" s="301">
        <f t="shared" ref="M95" si="134">(M94-L94)/L94</f>
        <v>2.64140702628471E-2</v>
      </c>
      <c r="N95" s="301">
        <f t="shared" ref="N95" si="135">(N94-M94)/M94</f>
        <v>2.6448976785326848E-2</v>
      </c>
      <c r="O95" s="301">
        <f t="shared" ref="O95" si="136">(O94-N94)/N94</f>
        <v>2.6483852771036705E-2</v>
      </c>
      <c r="P95" s="301">
        <f t="shared" ref="P95" si="137">(P94-O94)/O94</f>
        <v>2.6518695877822501E-2</v>
      </c>
      <c r="Q95" s="301">
        <f t="shared" ref="Q95" si="138">(Q94-P94)/P94</f>
        <v>2.6553503772437571E-2</v>
      </c>
      <c r="R95" s="301">
        <f t="shared" ref="R95" si="139">(R94-Q94)/Q94</f>
        <v>2.6588274131159856E-2</v>
      </c>
      <c r="S95" s="304"/>
    </row>
    <row r="96" spans="2:19" ht="16.25" customHeight="1">
      <c r="B96" s="337" t="s">
        <v>381</v>
      </c>
      <c r="C96" s="338" t="s">
        <v>344</v>
      </c>
      <c r="D96" s="339" t="s">
        <v>343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215"/>
    </row>
    <row r="97" spans="2:25" s="281" customFormat="1" ht="16.25" customHeight="1">
      <c r="B97" s="340" t="s">
        <v>366</v>
      </c>
      <c r="C97" s="342">
        <f>(H90/C90)^(1/5)-1</f>
        <v>5.8278929690945391E-2</v>
      </c>
      <c r="D97" s="343">
        <f>(R90/I90)^(1/9)-1</f>
        <v>3.2000000000000028E-2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04"/>
    </row>
    <row r="98" spans="2:25" s="31" customFormat="1" ht="16.25" customHeight="1">
      <c r="B98" s="340" t="s">
        <v>367</v>
      </c>
      <c r="C98" s="342">
        <f>(H92/C92)^(1/5)-1</f>
        <v>4.4590590124395924E-2</v>
      </c>
      <c r="D98" s="343">
        <f>(R92/I92)^(1/9)-1</f>
        <v>2.0000000000000018E-2</v>
      </c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306"/>
    </row>
    <row r="99" spans="2:25" s="31" customFormat="1" ht="16.25" customHeight="1">
      <c r="B99" s="341" t="s">
        <v>282</v>
      </c>
      <c r="C99" s="344">
        <f>(H94/C94)^(1/5)-1</f>
        <v>5.1614026875494989E-2</v>
      </c>
      <c r="D99" s="345">
        <f>(R94/I94)^(1/9)-1</f>
        <v>2.6448871068457613E-2</v>
      </c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306"/>
    </row>
    <row r="100" spans="2:25" ht="16.25" customHeight="1" thickBot="1">
      <c r="B100" s="190"/>
      <c r="C100" s="307"/>
      <c r="D100" s="308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5"/>
    </row>
    <row r="101" spans="2:25" ht="16.25" customHeight="1">
      <c r="B101" s="286"/>
      <c r="C101" s="287"/>
      <c r="D101" s="285"/>
      <c r="S101" s="215"/>
    </row>
    <row r="102" spans="2:25" ht="16.25" customHeight="1" thickBot="1">
      <c r="S102" s="212"/>
    </row>
    <row r="106" spans="2:25" ht="16.25" customHeight="1"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</row>
    <row r="107" spans="2:25" ht="16.25" customHeight="1"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Y107" s="30"/>
    </row>
    <row r="108" spans="2:25" s="288" customFormat="1" ht="16.149999999999999" customHeight="1">
      <c r="Y108" s="290"/>
    </row>
    <row r="109" spans="2:25" s="32" customFormat="1" ht="16.25" customHeight="1">
      <c r="B109" s="33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Y109" s="26"/>
    </row>
    <row r="110" spans="2:25" s="288" customFormat="1" ht="16.149999999999999" customHeight="1"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</row>
    <row r="111" spans="2:25" ht="16.25" customHeight="1"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</row>
    <row r="112" spans="2:25" s="184" customFormat="1" ht="18">
      <c r="B112" s="33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</row>
    <row r="113" spans="2:18" s="32" customFormat="1" ht="16.25" customHeight="1">
      <c r="B113" s="33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</row>
  </sheetData>
  <mergeCells count="9">
    <mergeCell ref="B86:E86"/>
    <mergeCell ref="J83:K83"/>
    <mergeCell ref="J84:K84"/>
    <mergeCell ref="I65:K65"/>
    <mergeCell ref="B2:U2"/>
    <mergeCell ref="C15:R15"/>
    <mergeCell ref="G27:M27"/>
    <mergeCell ref="B84:C84"/>
    <mergeCell ref="B85:G85"/>
  </mergeCells>
  <phoneticPr fontId="36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FB0D-2C6F-40A4-BBE4-8810607F7638}">
  <dimension ref="A1:AR101"/>
  <sheetViews>
    <sheetView topLeftCell="A18" zoomScale="55" workbookViewId="0">
      <selection activeCell="K61" sqref="K61"/>
    </sheetView>
  </sheetViews>
  <sheetFormatPr defaultRowHeight="14.25"/>
  <cols>
    <col min="1" max="1" width="59.1328125" bestFit="1" customWidth="1"/>
    <col min="2" max="11" width="10.59765625" bestFit="1" customWidth="1"/>
    <col min="13" max="13" width="11.3984375" bestFit="1" customWidth="1"/>
    <col min="34" max="34" width="13.73046875" customWidth="1"/>
    <col min="35" max="35" width="9.796875" bestFit="1" customWidth="1"/>
    <col min="36" max="37" width="9.9296875" bestFit="1" customWidth="1"/>
    <col min="38" max="40" width="9.796875" bestFit="1" customWidth="1"/>
    <col min="41" max="43" width="9.9296875" bestFit="1" customWidth="1"/>
    <col min="44" max="44" width="9.796875" bestFit="1" customWidth="1"/>
  </cols>
  <sheetData>
    <row r="1" spans="1:19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9" ht="20.65">
      <c r="A2" s="4" t="s">
        <v>180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9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9">
      <c r="A4" s="6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</row>
    <row r="5" spans="1:19">
      <c r="A5" s="8" t="s">
        <v>31</v>
      </c>
      <c r="B5" s="9" t="s">
        <v>32</v>
      </c>
      <c r="C5" s="10">
        <v>42410</v>
      </c>
      <c r="D5" s="10">
        <v>42745</v>
      </c>
      <c r="E5" s="9" t="s">
        <v>33</v>
      </c>
      <c r="F5" s="9" t="s">
        <v>34</v>
      </c>
      <c r="G5" s="9" t="s">
        <v>35</v>
      </c>
      <c r="H5" s="10">
        <v>44265</v>
      </c>
      <c r="I5" s="10">
        <v>44602</v>
      </c>
      <c r="J5" s="10">
        <v>44936</v>
      </c>
      <c r="K5" s="9" t="s">
        <v>36</v>
      </c>
    </row>
    <row r="6" spans="1:19">
      <c r="A6" s="11" t="s">
        <v>97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9">
      <c r="A7" s="13" t="s">
        <v>181</v>
      </c>
      <c r="B7" s="15">
        <v>1611.4</v>
      </c>
      <c r="C7" s="15">
        <v>2263.1999999999998</v>
      </c>
      <c r="D7" s="15">
        <v>2690.9</v>
      </c>
      <c r="E7" s="15">
        <v>8937.7999999999993</v>
      </c>
      <c r="F7" s="15">
        <v>2757.1</v>
      </c>
      <c r="G7" s="15">
        <v>4632.1000000000004</v>
      </c>
      <c r="H7" s="15">
        <v>6617.9</v>
      </c>
      <c r="I7" s="15">
        <v>3182.9</v>
      </c>
      <c r="J7" s="15">
        <v>3953</v>
      </c>
      <c r="K7" s="15">
        <v>3543.2</v>
      </c>
    </row>
    <row r="8" spans="1:19" s="68" customFormat="1">
      <c r="A8" s="96" t="s">
        <v>182</v>
      </c>
      <c r="B8" s="97">
        <v>1530.1</v>
      </c>
      <c r="C8" s="97">
        <v>2128.8000000000002</v>
      </c>
      <c r="D8" s="97">
        <v>2462.3000000000002</v>
      </c>
      <c r="E8" s="97">
        <v>8756.2999999999993</v>
      </c>
      <c r="F8" s="97">
        <v>2686.6</v>
      </c>
      <c r="G8" s="97">
        <v>4350.8999999999996</v>
      </c>
      <c r="H8" s="97">
        <v>6455.7</v>
      </c>
      <c r="I8" s="97">
        <v>2818.4</v>
      </c>
      <c r="J8" s="97">
        <v>3551.5</v>
      </c>
      <c r="K8" s="97">
        <v>3286.2</v>
      </c>
    </row>
    <row r="9" spans="1:19">
      <c r="A9" s="13" t="s">
        <v>183</v>
      </c>
      <c r="B9" s="14">
        <v>81.3</v>
      </c>
      <c r="C9" s="14">
        <v>134.4</v>
      </c>
      <c r="D9" s="14">
        <v>228.6</v>
      </c>
      <c r="E9" s="14">
        <v>181.5</v>
      </c>
      <c r="F9" s="14">
        <v>70.5</v>
      </c>
      <c r="G9" s="14">
        <v>281.2</v>
      </c>
      <c r="H9" s="14">
        <v>162.19999999999999</v>
      </c>
      <c r="I9" s="14">
        <v>364.5</v>
      </c>
      <c r="J9" s="14">
        <v>401.5</v>
      </c>
      <c r="K9" s="14">
        <v>257</v>
      </c>
    </row>
    <row r="10" spans="1:19">
      <c r="A10" s="13" t="s">
        <v>184</v>
      </c>
      <c r="B10" s="14">
        <v>719</v>
      </c>
      <c r="C10" s="14">
        <v>768.8</v>
      </c>
      <c r="D10" s="14">
        <v>870.4</v>
      </c>
      <c r="E10" s="14">
        <v>693.1</v>
      </c>
      <c r="F10" s="14">
        <v>879.2</v>
      </c>
      <c r="G10" s="14">
        <v>883.4</v>
      </c>
      <c r="H10" s="14">
        <v>940</v>
      </c>
      <c r="I10" s="15">
        <v>1175.5</v>
      </c>
      <c r="J10" s="15">
        <v>1184.0999999999999</v>
      </c>
      <c r="K10" s="15">
        <v>1213.8</v>
      </c>
      <c r="L10" s="23"/>
      <c r="M10" s="23"/>
      <c r="N10" s="23"/>
      <c r="O10" s="23"/>
      <c r="P10" s="23"/>
      <c r="Q10" s="23"/>
      <c r="R10" s="23"/>
      <c r="S10" s="23"/>
    </row>
    <row r="11" spans="1:19" s="2" customFormat="1">
      <c r="A11" s="37" t="s">
        <v>185</v>
      </c>
      <c r="B11" s="12">
        <v>719</v>
      </c>
      <c r="C11" s="12">
        <v>768.8</v>
      </c>
      <c r="D11" s="12">
        <v>870.4</v>
      </c>
      <c r="E11" s="12">
        <v>693.1</v>
      </c>
      <c r="F11" s="12">
        <v>879.2</v>
      </c>
      <c r="G11" s="12">
        <v>883.4</v>
      </c>
      <c r="H11" s="12">
        <v>940</v>
      </c>
      <c r="I11" s="16">
        <v>1175.5</v>
      </c>
      <c r="J11" s="16">
        <v>1184.0999999999999</v>
      </c>
      <c r="K11" s="16">
        <v>1213.8</v>
      </c>
      <c r="O11" s="139"/>
    </row>
    <row r="12" spans="1:19">
      <c r="A12" s="13" t="s">
        <v>186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</row>
    <row r="13" spans="1:19" s="2" customFormat="1">
      <c r="A13" s="37" t="s">
        <v>187</v>
      </c>
      <c r="B13" s="16">
        <v>1306.4000000000001</v>
      </c>
      <c r="C13" s="16">
        <v>1378.5</v>
      </c>
      <c r="D13" s="16">
        <v>1364</v>
      </c>
      <c r="E13" s="16">
        <v>1400.5</v>
      </c>
      <c r="F13" s="16">
        <v>1529.4</v>
      </c>
      <c r="G13" s="16">
        <v>1551.4</v>
      </c>
      <c r="H13" s="16">
        <v>1603.9</v>
      </c>
      <c r="I13" s="16">
        <v>2176.6</v>
      </c>
      <c r="J13" s="16">
        <v>1806.4</v>
      </c>
      <c r="K13" s="16">
        <v>1777.3</v>
      </c>
    </row>
    <row r="14" spans="1:19">
      <c r="A14" s="13" t="s">
        <v>188</v>
      </c>
      <c r="B14" s="14">
        <v>809.1</v>
      </c>
      <c r="C14" s="14">
        <v>862</v>
      </c>
      <c r="D14" s="14">
        <v>842.1</v>
      </c>
      <c r="E14" s="14">
        <v>869.8</v>
      </c>
      <c r="F14" s="14">
        <v>933</v>
      </c>
      <c r="G14" s="14">
        <v>888.2</v>
      </c>
      <c r="H14" s="14">
        <v>903.8</v>
      </c>
      <c r="I14" s="15">
        <v>1328.9</v>
      </c>
      <c r="J14" s="15">
        <v>1028</v>
      </c>
      <c r="K14" s="14">
        <v>917</v>
      </c>
    </row>
    <row r="15" spans="1:19">
      <c r="A15" s="13" t="s">
        <v>189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</row>
    <row r="16" spans="1:19">
      <c r="A16" s="13" t="s">
        <v>190</v>
      </c>
      <c r="B16" s="14">
        <v>318.3</v>
      </c>
      <c r="C16" s="14">
        <v>308.60000000000002</v>
      </c>
      <c r="D16" s="14">
        <v>301.10000000000002</v>
      </c>
      <c r="E16" s="14">
        <v>273.10000000000002</v>
      </c>
      <c r="F16" s="14">
        <v>288</v>
      </c>
      <c r="G16" s="14">
        <v>293.89999999999998</v>
      </c>
      <c r="H16" s="14">
        <v>329.3</v>
      </c>
      <c r="I16" s="14">
        <v>430.9</v>
      </c>
      <c r="J16" s="14">
        <v>364.6</v>
      </c>
      <c r="K16" s="14">
        <v>384.6</v>
      </c>
    </row>
    <row r="17" spans="1:11">
      <c r="A17" s="13" t="s">
        <v>191</v>
      </c>
      <c r="B17" s="14">
        <v>179</v>
      </c>
      <c r="C17" s="14">
        <v>207.9</v>
      </c>
      <c r="D17" s="14">
        <v>220.8</v>
      </c>
      <c r="E17" s="14">
        <v>257.60000000000002</v>
      </c>
      <c r="F17" s="14">
        <v>308.39999999999998</v>
      </c>
      <c r="G17" s="14">
        <v>369.3</v>
      </c>
      <c r="H17" s="14">
        <v>370.8</v>
      </c>
      <c r="I17" s="14">
        <v>416.8</v>
      </c>
      <c r="J17" s="14">
        <v>413.8</v>
      </c>
      <c r="K17" s="14">
        <v>475.7</v>
      </c>
    </row>
    <row r="18" spans="1:11">
      <c r="A18" s="13" t="s">
        <v>192</v>
      </c>
      <c r="B18" s="14">
        <v>334.2</v>
      </c>
      <c r="C18" s="14">
        <v>350</v>
      </c>
      <c r="D18" s="14">
        <v>358.1</v>
      </c>
      <c r="E18" s="15">
        <v>1462.8</v>
      </c>
      <c r="F18" s="14">
        <v>488.2</v>
      </c>
      <c r="G18" s="14">
        <v>739.5</v>
      </c>
      <c r="H18" s="14">
        <v>594.6</v>
      </c>
      <c r="I18" s="14">
        <v>483.7</v>
      </c>
      <c r="J18" s="14">
        <v>359.9</v>
      </c>
      <c r="K18" s="14">
        <v>313.10000000000002</v>
      </c>
    </row>
    <row r="19" spans="1:11">
      <c r="A19" s="13" t="s">
        <v>193</v>
      </c>
      <c r="B19" s="14">
        <v>50.8</v>
      </c>
      <c r="C19" s="14">
        <v>27.7</v>
      </c>
      <c r="D19" s="14">
        <v>24.4</v>
      </c>
      <c r="E19" s="14">
        <v>10.4</v>
      </c>
      <c r="F19" s="14">
        <v>12.6</v>
      </c>
      <c r="G19" s="14">
        <v>15.6</v>
      </c>
      <c r="H19" s="14">
        <v>147.6</v>
      </c>
      <c r="I19" s="14">
        <v>75.099999999999994</v>
      </c>
      <c r="J19" s="14">
        <v>41</v>
      </c>
      <c r="K19" s="14">
        <v>4.8</v>
      </c>
    </row>
    <row r="20" spans="1:11">
      <c r="A20" s="13" t="s">
        <v>194</v>
      </c>
      <c r="B20" s="14" t="s">
        <v>37</v>
      </c>
      <c r="C20" s="14" t="s">
        <v>37</v>
      </c>
      <c r="D20" s="14" t="s">
        <v>37</v>
      </c>
      <c r="E20" s="14" t="s">
        <v>37</v>
      </c>
      <c r="F20" s="14" t="s">
        <v>37</v>
      </c>
      <c r="G20" s="14" t="s">
        <v>37</v>
      </c>
      <c r="H20" s="14" t="s">
        <v>37</v>
      </c>
      <c r="I20" s="14" t="s">
        <v>37</v>
      </c>
      <c r="J20" s="14" t="s">
        <v>37</v>
      </c>
      <c r="K20" s="14" t="s">
        <v>37</v>
      </c>
    </row>
    <row r="21" spans="1:11">
      <c r="A21" s="13" t="s">
        <v>195</v>
      </c>
      <c r="B21" s="14" t="s">
        <v>37</v>
      </c>
      <c r="C21" s="14" t="s">
        <v>37</v>
      </c>
      <c r="D21" s="14" t="s">
        <v>37</v>
      </c>
      <c r="E21" s="14" t="s">
        <v>37</v>
      </c>
      <c r="F21" s="14" t="s">
        <v>37</v>
      </c>
      <c r="G21" s="14">
        <v>356.9</v>
      </c>
      <c r="H21" s="14">
        <v>20.7</v>
      </c>
      <c r="I21" s="14">
        <v>27.7</v>
      </c>
      <c r="J21" s="14" t="s">
        <v>37</v>
      </c>
      <c r="K21" s="14" t="s">
        <v>37</v>
      </c>
    </row>
    <row r="22" spans="1:11" s="2" customFormat="1">
      <c r="A22" s="37" t="s">
        <v>196</v>
      </c>
      <c r="B22" s="12">
        <v>283.39999999999998</v>
      </c>
      <c r="C22" s="12">
        <v>322.3</v>
      </c>
      <c r="D22" s="12">
        <v>333.7</v>
      </c>
      <c r="E22" s="16">
        <v>1452.4</v>
      </c>
      <c r="F22" s="12">
        <v>475.6</v>
      </c>
      <c r="G22" s="12">
        <v>367</v>
      </c>
      <c r="H22" s="12">
        <v>426.3</v>
      </c>
      <c r="I22" s="12">
        <v>380.9</v>
      </c>
      <c r="J22" s="12">
        <v>318.89999999999998</v>
      </c>
      <c r="K22" s="12">
        <v>308.3</v>
      </c>
    </row>
    <row r="23" spans="1:11" s="52" customFormat="1">
      <c r="A23" s="50" t="s">
        <v>96</v>
      </c>
      <c r="B23" s="51">
        <v>3971</v>
      </c>
      <c r="C23" s="51">
        <v>4760.5</v>
      </c>
      <c r="D23" s="51">
        <v>5283.4</v>
      </c>
      <c r="E23" s="51">
        <v>12494.2</v>
      </c>
      <c r="F23" s="51">
        <v>5653.9</v>
      </c>
      <c r="G23" s="51">
        <v>7806.4</v>
      </c>
      <c r="H23" s="51">
        <v>9756.4</v>
      </c>
      <c r="I23" s="51">
        <v>7018.7</v>
      </c>
      <c r="J23" s="51">
        <v>7303.4</v>
      </c>
      <c r="K23" s="51">
        <v>6847.4</v>
      </c>
    </row>
    <row r="24" spans="1:11" s="68" customFormat="1">
      <c r="A24" s="96" t="s">
        <v>197</v>
      </c>
      <c r="B24" s="97">
        <v>4088.3</v>
      </c>
      <c r="C24" s="97">
        <v>4533.8</v>
      </c>
      <c r="D24" s="97">
        <v>4919.5</v>
      </c>
      <c r="E24" s="97">
        <v>5929.1</v>
      </c>
      <c r="F24" s="97">
        <v>6431.7</v>
      </c>
      <c r="G24" s="97">
        <v>14375.5</v>
      </c>
      <c r="H24" s="97">
        <v>14605.5</v>
      </c>
      <c r="I24" s="97">
        <v>14576.1</v>
      </c>
      <c r="J24" s="97">
        <v>15799.7</v>
      </c>
      <c r="K24" s="97">
        <v>17951.7</v>
      </c>
    </row>
    <row r="25" spans="1:11" s="182" customFormat="1">
      <c r="A25" s="180" t="s">
        <v>198</v>
      </c>
      <c r="B25" s="181">
        <v>9641.7999999999993</v>
      </c>
      <c r="C25" s="181">
        <v>10573.3</v>
      </c>
      <c r="D25" s="181">
        <v>11584</v>
      </c>
      <c r="E25" s="181">
        <v>13197.1</v>
      </c>
      <c r="F25" s="181">
        <v>14273.5</v>
      </c>
      <c r="G25" s="181">
        <v>22289.4</v>
      </c>
      <c r="H25" s="181">
        <v>23064.799999999999</v>
      </c>
      <c r="I25" s="181">
        <v>23625.4</v>
      </c>
      <c r="J25" s="181">
        <v>25722.799999999999</v>
      </c>
      <c r="K25" s="181">
        <v>28727.200000000001</v>
      </c>
    </row>
    <row r="26" spans="1:11" s="182" customFormat="1">
      <c r="A26" s="180" t="s">
        <v>199</v>
      </c>
      <c r="B26" s="181">
        <v>5553.5</v>
      </c>
      <c r="C26" s="181">
        <v>6039.5</v>
      </c>
      <c r="D26" s="181">
        <v>6664.5</v>
      </c>
      <c r="E26" s="181">
        <v>7268</v>
      </c>
      <c r="F26" s="181">
        <v>7841.8</v>
      </c>
      <c r="G26" s="181">
        <v>7913.9</v>
      </c>
      <c r="H26" s="181">
        <v>8459.2999999999993</v>
      </c>
      <c r="I26" s="181">
        <v>9049.2999999999993</v>
      </c>
      <c r="J26" s="181">
        <v>9923.1</v>
      </c>
      <c r="K26" s="181">
        <v>10775.5</v>
      </c>
    </row>
    <row r="27" spans="1:11">
      <c r="A27" s="13" t="s">
        <v>200</v>
      </c>
      <c r="B27" s="14">
        <v>312.5</v>
      </c>
      <c r="C27" s="15">
        <v>1141.7</v>
      </c>
      <c r="D27" s="14">
        <v>542.29999999999995</v>
      </c>
      <c r="E27" s="14">
        <v>267.7</v>
      </c>
      <c r="F27" s="14">
        <v>220</v>
      </c>
      <c r="G27" s="14">
        <v>206.1</v>
      </c>
      <c r="H27" s="14">
        <v>281.7</v>
      </c>
      <c r="I27" s="14">
        <v>279.10000000000002</v>
      </c>
      <c r="J27" s="14">
        <v>247.4</v>
      </c>
      <c r="K27" s="14">
        <v>276</v>
      </c>
    </row>
    <row r="28" spans="1:11">
      <c r="A28" s="13" t="s">
        <v>201</v>
      </c>
      <c r="B28" s="14">
        <v>312.5</v>
      </c>
      <c r="C28" s="15">
        <v>1141.7</v>
      </c>
      <c r="D28" s="14">
        <v>542.29999999999995</v>
      </c>
      <c r="E28" s="14">
        <v>267.7</v>
      </c>
      <c r="F28" s="14">
        <v>220</v>
      </c>
      <c r="G28" s="14">
        <v>206.1</v>
      </c>
      <c r="H28" s="14">
        <v>281.7</v>
      </c>
      <c r="I28" s="14">
        <v>279.10000000000002</v>
      </c>
      <c r="J28" s="14">
        <v>247.4</v>
      </c>
      <c r="K28" s="14">
        <v>276</v>
      </c>
    </row>
    <row r="29" spans="1:11">
      <c r="A29" s="13" t="s">
        <v>202</v>
      </c>
      <c r="B29" s="15">
        <v>4044.5</v>
      </c>
      <c r="C29" s="15">
        <v>3893.5</v>
      </c>
      <c r="D29" s="15">
        <v>3620.4</v>
      </c>
      <c r="E29" s="15">
        <v>5465.4</v>
      </c>
      <c r="F29" s="15">
        <v>6914</v>
      </c>
      <c r="G29" s="15">
        <v>6986.5</v>
      </c>
      <c r="H29" s="15">
        <v>6749</v>
      </c>
      <c r="I29" s="15">
        <v>6104.5</v>
      </c>
      <c r="J29" s="15">
        <v>6095</v>
      </c>
      <c r="K29" s="15">
        <v>6264.2</v>
      </c>
    </row>
    <row r="30" spans="1:11">
      <c r="A30" s="13" t="s">
        <v>203</v>
      </c>
      <c r="B30" s="15">
        <v>2095.8000000000002</v>
      </c>
      <c r="C30" s="15">
        <v>2235.9</v>
      </c>
      <c r="D30" s="15">
        <v>1980.6</v>
      </c>
      <c r="E30" s="15">
        <v>4583.8</v>
      </c>
      <c r="F30" s="15">
        <v>4272.6000000000004</v>
      </c>
      <c r="G30" s="15">
        <v>4149.3</v>
      </c>
      <c r="H30" s="15">
        <v>4027.2</v>
      </c>
      <c r="I30" s="15">
        <v>3439.4</v>
      </c>
      <c r="J30" s="15">
        <v>3338.8</v>
      </c>
      <c r="K30" s="15">
        <v>3416.6</v>
      </c>
    </row>
    <row r="31" spans="1:11">
      <c r="A31" s="19" t="s">
        <v>204</v>
      </c>
      <c r="B31" s="21">
        <v>1575.4</v>
      </c>
      <c r="C31" s="21">
        <v>1719.6</v>
      </c>
      <c r="D31" s="21">
        <v>1539.2</v>
      </c>
      <c r="E31" s="21">
        <v>3541.6</v>
      </c>
      <c r="F31" s="21">
        <v>3490.8</v>
      </c>
      <c r="G31" s="21">
        <v>3597.2</v>
      </c>
      <c r="H31" s="21">
        <v>3677.3</v>
      </c>
      <c r="I31" s="21">
        <v>3283.5</v>
      </c>
      <c r="J31" s="21">
        <v>3218.3</v>
      </c>
      <c r="K31" s="21">
        <v>3315.7</v>
      </c>
    </row>
    <row r="32" spans="1:11">
      <c r="A32" s="19" t="s">
        <v>205</v>
      </c>
      <c r="B32" s="20">
        <v>520.4</v>
      </c>
      <c r="C32" s="20">
        <v>516.29999999999995</v>
      </c>
      <c r="D32" s="20">
        <v>441.4</v>
      </c>
      <c r="E32" s="21">
        <v>1042.2</v>
      </c>
      <c r="F32" s="20">
        <v>781.8</v>
      </c>
      <c r="G32" s="20">
        <v>552.1</v>
      </c>
      <c r="H32" s="20">
        <v>349.9</v>
      </c>
      <c r="I32" s="20">
        <v>155.9</v>
      </c>
      <c r="J32" s="20">
        <v>120.5</v>
      </c>
      <c r="K32" s="20">
        <v>100.9</v>
      </c>
    </row>
    <row r="33" spans="1:20">
      <c r="A33" s="13" t="s">
        <v>194</v>
      </c>
      <c r="B33" s="15">
        <v>1180.8</v>
      </c>
      <c r="C33" s="14">
        <v>885.4</v>
      </c>
      <c r="D33" s="14">
        <v>795.4</v>
      </c>
      <c r="E33" s="14">
        <v>134.69999999999999</v>
      </c>
      <c r="F33" s="15">
        <v>1765.8</v>
      </c>
      <c r="G33" s="15">
        <v>1789.9</v>
      </c>
      <c r="H33" s="15">
        <v>1874.8</v>
      </c>
      <c r="I33" s="15">
        <v>1799.7</v>
      </c>
      <c r="J33" s="15">
        <v>1769.8</v>
      </c>
      <c r="K33" s="15">
        <v>1766.7</v>
      </c>
    </row>
    <row r="34" spans="1:20">
      <c r="A34" s="13" t="s">
        <v>193</v>
      </c>
      <c r="B34" s="14">
        <v>54.7</v>
      </c>
      <c r="C34" s="14">
        <v>6.4</v>
      </c>
      <c r="D34" s="14">
        <v>13.4</v>
      </c>
      <c r="E34" s="14">
        <v>24.5</v>
      </c>
      <c r="F34" s="14">
        <v>26.3</v>
      </c>
      <c r="G34" s="14">
        <v>87.3</v>
      </c>
      <c r="H34" s="14">
        <v>84.3</v>
      </c>
      <c r="I34" s="14">
        <v>156.19999999999999</v>
      </c>
      <c r="J34" s="14">
        <v>153</v>
      </c>
      <c r="K34" s="14">
        <v>183</v>
      </c>
      <c r="N34" s="123">
        <v>2019</v>
      </c>
      <c r="O34">
        <f>N34+1</f>
        <v>2020</v>
      </c>
      <c r="P34">
        <f t="shared" ref="P34:R34" si="0">O34+1</f>
        <v>2021</v>
      </c>
      <c r="Q34">
        <f t="shared" si="0"/>
        <v>2022</v>
      </c>
      <c r="R34">
        <f t="shared" si="0"/>
        <v>2023</v>
      </c>
      <c r="S34">
        <f>R34+1</f>
        <v>2024</v>
      </c>
    </row>
    <row r="35" spans="1:20">
      <c r="A35" s="13" t="s">
        <v>206</v>
      </c>
      <c r="B35" s="14">
        <v>352</v>
      </c>
      <c r="C35" s="14">
        <v>354.5</v>
      </c>
      <c r="D35" s="14">
        <v>481.6</v>
      </c>
      <c r="E35" s="14">
        <v>334.7</v>
      </c>
      <c r="F35" s="14">
        <v>396</v>
      </c>
      <c r="G35" s="14">
        <v>478.7</v>
      </c>
      <c r="H35" s="14">
        <v>268.5</v>
      </c>
      <c r="I35" s="14">
        <v>311.2</v>
      </c>
      <c r="J35" s="14">
        <v>439.9</v>
      </c>
      <c r="K35" s="14">
        <v>463.9</v>
      </c>
      <c r="M35" t="s">
        <v>262</v>
      </c>
      <c r="N35" s="40">
        <f>F23/F56</f>
        <v>0.91654643604000841</v>
      </c>
      <c r="O35" s="40">
        <f t="shared" ref="O35:S35" si="1">G23/G56</f>
        <v>1.0625578483149125</v>
      </c>
      <c r="P35" s="40">
        <f t="shared" si="1"/>
        <v>1.1968986922491842</v>
      </c>
      <c r="Q35" s="40">
        <f t="shared" si="1"/>
        <v>0.76692016870998059</v>
      </c>
      <c r="R35" s="40">
        <f t="shared" si="1"/>
        <v>0.78150514162199181</v>
      </c>
      <c r="S35" s="40">
        <f t="shared" si="1"/>
        <v>0.75495038588754126</v>
      </c>
      <c r="T35" s="124"/>
    </row>
    <row r="36" spans="1:20">
      <c r="A36" s="13" t="s">
        <v>207</v>
      </c>
      <c r="B36" s="14">
        <v>361.2</v>
      </c>
      <c r="C36" s="14">
        <v>411.3</v>
      </c>
      <c r="D36" s="14">
        <v>349.4</v>
      </c>
      <c r="E36" s="14">
        <v>387.7</v>
      </c>
      <c r="F36" s="14">
        <v>453.3</v>
      </c>
      <c r="G36" s="14">
        <v>481.3</v>
      </c>
      <c r="H36" s="14">
        <v>494.2</v>
      </c>
      <c r="I36" s="14">
        <v>398</v>
      </c>
      <c r="J36" s="14">
        <v>393.5</v>
      </c>
      <c r="K36" s="14">
        <v>434</v>
      </c>
    </row>
    <row r="37" spans="1:20">
      <c r="A37" s="11" t="s">
        <v>208</v>
      </c>
      <c r="B37" s="16">
        <v>8445.2999999999993</v>
      </c>
      <c r="C37" s="16">
        <v>9569</v>
      </c>
      <c r="D37" s="16">
        <v>9082.2000000000007</v>
      </c>
      <c r="E37" s="16">
        <v>11662.2</v>
      </c>
      <c r="F37" s="16">
        <v>13565.7</v>
      </c>
      <c r="G37" s="16">
        <v>21568.1</v>
      </c>
      <c r="H37" s="16">
        <v>21636.2</v>
      </c>
      <c r="I37" s="16">
        <v>20959.7</v>
      </c>
      <c r="J37" s="16">
        <v>22142.1</v>
      </c>
      <c r="K37" s="16">
        <v>24491.9</v>
      </c>
    </row>
    <row r="38" spans="1:20">
      <c r="A38" s="11" t="s">
        <v>97</v>
      </c>
      <c r="B38" s="16">
        <v>12416.3</v>
      </c>
      <c r="C38" s="16">
        <v>14329.5</v>
      </c>
      <c r="D38" s="16">
        <v>14365.6</v>
      </c>
      <c r="E38" s="16">
        <v>24156.400000000001</v>
      </c>
      <c r="F38" s="16">
        <v>19219.599999999999</v>
      </c>
      <c r="G38" s="16">
        <v>29374.5</v>
      </c>
      <c r="H38" s="16">
        <v>31392.6</v>
      </c>
      <c r="I38" s="16">
        <v>27978.400000000001</v>
      </c>
      <c r="J38" s="16">
        <v>29445.5</v>
      </c>
      <c r="K38" s="16">
        <v>31339.3</v>
      </c>
    </row>
    <row r="39" spans="1:20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20">
      <c r="A40" s="11" t="s">
        <v>216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1:20">
      <c r="A41" s="13" t="s">
        <v>217</v>
      </c>
      <c r="B41" s="15">
        <v>2420.3000000000002</v>
      </c>
      <c r="C41" s="15">
        <v>2711.7</v>
      </c>
      <c r="D41" s="15">
        <v>2700.6</v>
      </c>
      <c r="E41" s="15">
        <v>3684.9</v>
      </c>
      <c r="F41" s="15">
        <v>4894</v>
      </c>
      <c r="G41" s="15">
        <v>2945.5</v>
      </c>
      <c r="H41" s="15">
        <v>4296.5</v>
      </c>
      <c r="I41" s="15">
        <v>4458.3999999999996</v>
      </c>
      <c r="J41" s="15">
        <v>4514.1000000000004</v>
      </c>
      <c r="K41" s="15">
        <v>4565.2</v>
      </c>
    </row>
    <row r="42" spans="1:20">
      <c r="A42" s="13" t="s">
        <v>218</v>
      </c>
      <c r="B42" s="14">
        <v>684.2</v>
      </c>
      <c r="C42" s="14">
        <v>730.6</v>
      </c>
      <c r="D42" s="14">
        <v>782.5</v>
      </c>
      <c r="E42" s="15">
        <v>1179.3</v>
      </c>
      <c r="F42" s="15">
        <v>1189.7</v>
      </c>
      <c r="G42" s="14">
        <v>997.9</v>
      </c>
      <c r="H42" s="15">
        <v>1211.5999999999999</v>
      </c>
      <c r="I42" s="15">
        <v>1441.4</v>
      </c>
      <c r="J42" s="15">
        <v>1544.3</v>
      </c>
      <c r="K42" s="15">
        <v>1595.5</v>
      </c>
    </row>
    <row r="43" spans="1:20">
      <c r="A43" s="13" t="s">
        <v>219</v>
      </c>
      <c r="B43" s="14">
        <v>259</v>
      </c>
      <c r="C43" s="14">
        <v>368.4</v>
      </c>
      <c r="D43" s="14">
        <v>226.6</v>
      </c>
      <c r="E43" s="14">
        <v>286.60000000000002</v>
      </c>
      <c r="F43" s="15">
        <v>1468.4</v>
      </c>
      <c r="G43" s="14">
        <v>260.89999999999998</v>
      </c>
      <c r="H43" s="14">
        <v>566</v>
      </c>
      <c r="I43" s="14">
        <v>333.8</v>
      </c>
      <c r="J43" s="14">
        <v>212.7</v>
      </c>
      <c r="K43" s="14">
        <v>211.2</v>
      </c>
    </row>
    <row r="44" spans="1:20">
      <c r="A44" s="13" t="s">
        <v>220</v>
      </c>
      <c r="B44" s="14">
        <v>0</v>
      </c>
      <c r="C44" s="14">
        <v>0</v>
      </c>
      <c r="D44" s="14">
        <v>0</v>
      </c>
      <c r="E44" s="14">
        <v>445.4</v>
      </c>
      <c r="F44" s="14">
        <v>485.7</v>
      </c>
      <c r="G44" s="14">
        <v>0</v>
      </c>
      <c r="H44" s="14">
        <v>578.1</v>
      </c>
      <c r="I44" s="14">
        <v>608.29999999999995</v>
      </c>
      <c r="J44" s="14">
        <v>651.20000000000005</v>
      </c>
      <c r="K44" s="14">
        <v>691.2</v>
      </c>
    </row>
    <row r="45" spans="1:20">
      <c r="A45" s="13" t="s">
        <v>221</v>
      </c>
      <c r="B45" s="15">
        <v>1477.1</v>
      </c>
      <c r="C45" s="15">
        <v>1612.7</v>
      </c>
      <c r="D45" s="15">
        <v>1691.5</v>
      </c>
      <c r="E45" s="15">
        <v>1773.6</v>
      </c>
      <c r="F45" s="15">
        <v>1750.2</v>
      </c>
      <c r="G45" s="15">
        <v>1686.7</v>
      </c>
      <c r="H45" s="15">
        <v>1940.8</v>
      </c>
      <c r="I45" s="15">
        <v>2074.9</v>
      </c>
      <c r="J45" s="15">
        <v>2105.9</v>
      </c>
      <c r="K45" s="15">
        <v>2067.3000000000002</v>
      </c>
    </row>
    <row r="46" spans="1:20" s="86" customFormat="1">
      <c r="A46" s="84" t="s">
        <v>222</v>
      </c>
      <c r="B46" s="87">
        <v>0</v>
      </c>
      <c r="C46" s="87">
        <v>400</v>
      </c>
      <c r="D46" s="87">
        <v>0</v>
      </c>
      <c r="E46" s="87">
        <v>349.9</v>
      </c>
      <c r="F46" s="87">
        <v>0</v>
      </c>
      <c r="G46" s="85">
        <v>2937.5</v>
      </c>
      <c r="H46" s="85">
        <v>2250.1999999999998</v>
      </c>
      <c r="I46" s="85">
        <v>3169.7</v>
      </c>
      <c r="J46" s="85">
        <v>3127.4</v>
      </c>
      <c r="K46" s="85">
        <v>2712</v>
      </c>
    </row>
    <row r="47" spans="1:20">
      <c r="A47" s="13" t="s">
        <v>223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438.8</v>
      </c>
      <c r="H47" s="14">
        <v>0</v>
      </c>
      <c r="I47" s="14">
        <v>175</v>
      </c>
      <c r="J47" s="14">
        <v>33.5</v>
      </c>
      <c r="K47" s="14">
        <v>0</v>
      </c>
    </row>
    <row r="48" spans="1:20">
      <c r="A48" s="13" t="s">
        <v>224</v>
      </c>
      <c r="B48" s="14" t="s">
        <v>37</v>
      </c>
      <c r="C48" s="14" t="s">
        <v>37</v>
      </c>
      <c r="D48" s="14" t="s">
        <v>37</v>
      </c>
      <c r="E48" s="14" t="s">
        <v>37</v>
      </c>
      <c r="F48" s="14" t="s">
        <v>37</v>
      </c>
      <c r="G48" s="15">
        <v>1248.8</v>
      </c>
      <c r="H48" s="15">
        <v>1251.3</v>
      </c>
      <c r="I48" s="15">
        <v>1245.7</v>
      </c>
      <c r="J48" s="15">
        <v>1275.3</v>
      </c>
      <c r="K48" s="15">
        <v>1463.1</v>
      </c>
    </row>
    <row r="49" spans="1:44">
      <c r="A49" s="19" t="s">
        <v>225</v>
      </c>
      <c r="B49" s="20" t="s">
        <v>37</v>
      </c>
      <c r="C49" s="20" t="s">
        <v>37</v>
      </c>
      <c r="D49" s="20" t="s">
        <v>37</v>
      </c>
      <c r="E49" s="20" t="s">
        <v>37</v>
      </c>
      <c r="F49" s="20" t="s">
        <v>37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</row>
    <row r="50" spans="1:44">
      <c r="A50" s="19" t="s">
        <v>226</v>
      </c>
      <c r="B50" s="20" t="s">
        <v>37</v>
      </c>
      <c r="C50" s="20" t="s">
        <v>37</v>
      </c>
      <c r="D50" s="20" t="s">
        <v>37</v>
      </c>
      <c r="E50" s="20" t="s">
        <v>37</v>
      </c>
      <c r="F50" s="20" t="s">
        <v>37</v>
      </c>
      <c r="G50" s="21">
        <v>1248.8</v>
      </c>
      <c r="H50" s="21">
        <v>1251.3</v>
      </c>
      <c r="I50" s="21">
        <v>1245.7</v>
      </c>
      <c r="J50" s="21">
        <v>1275.3</v>
      </c>
      <c r="K50" s="21">
        <v>1463.1</v>
      </c>
    </row>
    <row r="51" spans="1:44">
      <c r="A51" s="13" t="s">
        <v>227</v>
      </c>
      <c r="B51" s="14">
        <v>0</v>
      </c>
      <c r="C51" s="14">
        <v>400</v>
      </c>
      <c r="D51" s="14">
        <v>0</v>
      </c>
      <c r="E51" s="14">
        <v>349.9</v>
      </c>
      <c r="F51" s="14">
        <v>0</v>
      </c>
      <c r="G51" s="15">
        <v>1249.9000000000001</v>
      </c>
      <c r="H51" s="14">
        <v>998.9</v>
      </c>
      <c r="I51" s="15">
        <v>1749</v>
      </c>
      <c r="J51" s="15">
        <v>1818.6</v>
      </c>
      <c r="K51" s="15">
        <v>1248.9000000000001</v>
      </c>
    </row>
    <row r="52" spans="1:44">
      <c r="A52" s="13" t="s">
        <v>228</v>
      </c>
      <c r="B52" s="15">
        <v>1227.8</v>
      </c>
      <c r="C52" s="15">
        <v>1435.2</v>
      </c>
      <c r="D52" s="15">
        <v>1520.1</v>
      </c>
      <c r="E52" s="15">
        <v>1649.4</v>
      </c>
      <c r="F52" s="15">
        <v>1274.7</v>
      </c>
      <c r="G52" s="15">
        <v>1463.8</v>
      </c>
      <c r="H52" s="15">
        <v>1604.7</v>
      </c>
      <c r="I52" s="15">
        <v>1523.7</v>
      </c>
      <c r="J52" s="15">
        <v>1703.8</v>
      </c>
      <c r="K52" s="15">
        <v>1792.8</v>
      </c>
    </row>
    <row r="53" spans="1:44">
      <c r="A53" s="13" t="s">
        <v>229</v>
      </c>
      <c r="B53" s="14">
        <v>983.8</v>
      </c>
      <c r="C53" s="15">
        <v>1171.2</v>
      </c>
      <c r="D53" s="15">
        <v>1288.5</v>
      </c>
      <c r="E53" s="15">
        <v>1642.9</v>
      </c>
      <c r="F53" s="15">
        <v>1269</v>
      </c>
      <c r="G53" s="15">
        <v>1456.5</v>
      </c>
      <c r="H53" s="15">
        <v>1596.1</v>
      </c>
      <c r="I53" s="15">
        <v>1502.7</v>
      </c>
      <c r="J53" s="15">
        <v>1700.2</v>
      </c>
      <c r="K53" s="15">
        <v>1781.2</v>
      </c>
    </row>
    <row r="54" spans="1:44">
      <c r="A54" s="13" t="s">
        <v>230</v>
      </c>
      <c r="B54" s="14">
        <v>19.2</v>
      </c>
      <c r="C54" s="14">
        <v>18</v>
      </c>
      <c r="D54" s="14">
        <v>16.399999999999999</v>
      </c>
      <c r="E54" s="14">
        <v>6.5</v>
      </c>
      <c r="F54" s="14">
        <v>5.7</v>
      </c>
      <c r="G54" s="14">
        <v>7.3</v>
      </c>
      <c r="H54" s="14">
        <v>8.6</v>
      </c>
      <c r="I54" s="14">
        <v>21</v>
      </c>
      <c r="J54" s="14">
        <v>3.6</v>
      </c>
      <c r="K54" s="14">
        <v>11.6</v>
      </c>
    </row>
    <row r="55" spans="1:44">
      <c r="A55" s="13" t="s">
        <v>231</v>
      </c>
      <c r="B55" s="14">
        <v>224.8</v>
      </c>
      <c r="C55" s="14">
        <v>246</v>
      </c>
      <c r="D55" s="14">
        <v>215.2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</row>
    <row r="56" spans="1:44" s="52" customFormat="1">
      <c r="A56" s="50" t="s">
        <v>98</v>
      </c>
      <c r="B56" s="51">
        <v>3648.1</v>
      </c>
      <c r="C56" s="51">
        <v>4546.8999999999996</v>
      </c>
      <c r="D56" s="51">
        <v>4220.7</v>
      </c>
      <c r="E56" s="51">
        <v>5684.2</v>
      </c>
      <c r="F56" s="51">
        <v>6168.7</v>
      </c>
      <c r="G56" s="51">
        <v>7346.8</v>
      </c>
      <c r="H56" s="51">
        <v>8151.4</v>
      </c>
      <c r="I56" s="51">
        <v>9151.7999999999993</v>
      </c>
      <c r="J56" s="51">
        <v>9345.2999999999993</v>
      </c>
      <c r="K56" s="51">
        <v>9070</v>
      </c>
    </row>
    <row r="57" spans="1:44" s="86" customFormat="1">
      <c r="A57" s="84" t="s">
        <v>232</v>
      </c>
      <c r="B57" s="85">
        <v>2347.5</v>
      </c>
      <c r="C57" s="85">
        <v>3202.2</v>
      </c>
      <c r="D57" s="85">
        <v>3932.6</v>
      </c>
      <c r="E57" s="85">
        <v>9090.2000000000007</v>
      </c>
      <c r="F57" s="85">
        <v>11167</v>
      </c>
      <c r="G57" s="85">
        <v>22321.3</v>
      </c>
      <c r="H57" s="85">
        <v>21354.9</v>
      </c>
      <c r="I57" s="85">
        <v>20635.099999999999</v>
      </c>
      <c r="J57" s="85">
        <v>21472.400000000001</v>
      </c>
      <c r="K57" s="85">
        <v>23091.1</v>
      </c>
    </row>
    <row r="58" spans="1:44">
      <c r="A58" s="13" t="s">
        <v>233</v>
      </c>
      <c r="B58" s="15">
        <v>2347.5</v>
      </c>
      <c r="C58" s="15">
        <v>3202.2</v>
      </c>
      <c r="D58" s="15">
        <v>3932.6</v>
      </c>
      <c r="E58" s="15">
        <v>9090.2000000000007</v>
      </c>
      <c r="F58" s="15">
        <v>11167</v>
      </c>
      <c r="G58" s="15">
        <v>14659.6</v>
      </c>
      <c r="H58" s="15">
        <v>13616.9</v>
      </c>
      <c r="I58" s="15">
        <v>13119.9</v>
      </c>
      <c r="J58" s="15">
        <v>13547.6</v>
      </c>
      <c r="K58" s="15">
        <v>14319.5</v>
      </c>
    </row>
    <row r="59" spans="1:44">
      <c r="A59" s="13" t="s">
        <v>234</v>
      </c>
      <c r="B59" s="14" t="s">
        <v>37</v>
      </c>
      <c r="C59" s="14" t="s">
        <v>37</v>
      </c>
      <c r="D59" s="14" t="s">
        <v>37</v>
      </c>
      <c r="E59" s="14" t="s">
        <v>37</v>
      </c>
      <c r="F59" s="14" t="s">
        <v>37</v>
      </c>
      <c r="G59" s="15">
        <v>7661.7</v>
      </c>
      <c r="H59" s="15">
        <v>7738</v>
      </c>
      <c r="I59" s="15">
        <v>7515.2</v>
      </c>
      <c r="J59" s="15">
        <v>7924.8</v>
      </c>
      <c r="K59" s="15">
        <v>8771.6</v>
      </c>
      <c r="AH59" s="143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</row>
    <row r="60" spans="1:44">
      <c r="A60" s="19" t="s">
        <v>235</v>
      </c>
      <c r="B60" s="20" t="s">
        <v>37</v>
      </c>
      <c r="C60" s="20" t="s">
        <v>37</v>
      </c>
      <c r="D60" s="20" t="s">
        <v>37</v>
      </c>
      <c r="E60" s="20" t="s">
        <v>37</v>
      </c>
      <c r="F60" s="20" t="s">
        <v>37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AH60" s="143"/>
      <c r="AI60" s="144"/>
      <c r="AJ60" s="145"/>
      <c r="AK60" s="145"/>
      <c r="AL60" s="144"/>
      <c r="AM60" s="144"/>
      <c r="AN60" s="144"/>
      <c r="AO60" s="145"/>
      <c r="AP60" s="145"/>
      <c r="AQ60" s="145"/>
      <c r="AR60" s="144"/>
    </row>
    <row r="61" spans="1:44">
      <c r="A61" s="19" t="s">
        <v>236</v>
      </c>
      <c r="B61" s="20" t="s">
        <v>37</v>
      </c>
      <c r="C61" s="20" t="s">
        <v>37</v>
      </c>
      <c r="D61" s="20" t="s">
        <v>37</v>
      </c>
      <c r="E61" s="20" t="s">
        <v>37</v>
      </c>
      <c r="F61" s="20" t="s">
        <v>37</v>
      </c>
      <c r="G61" s="21">
        <v>7661.7</v>
      </c>
      <c r="H61" s="21">
        <v>7738</v>
      </c>
      <c r="I61" s="21">
        <v>7515.2</v>
      </c>
      <c r="J61" s="21">
        <v>7924.8</v>
      </c>
      <c r="K61" s="21">
        <v>8771.6</v>
      </c>
      <c r="AH61" s="146"/>
      <c r="AI61" s="147"/>
      <c r="AJ61" s="147"/>
      <c r="AK61" s="147"/>
      <c r="AL61" s="147"/>
      <c r="AM61" s="147"/>
      <c r="AN61" s="147"/>
      <c r="AO61" s="147"/>
      <c r="AP61" s="147"/>
      <c r="AQ61" s="147"/>
      <c r="AR61" s="147"/>
    </row>
    <row r="62" spans="1:44">
      <c r="A62" s="13" t="s">
        <v>237</v>
      </c>
      <c r="B62" s="14">
        <v>600.9</v>
      </c>
      <c r="C62" s="14">
        <v>689.7</v>
      </c>
      <c r="D62" s="14">
        <v>755.3</v>
      </c>
      <c r="E62" s="15">
        <v>8206.2000000000007</v>
      </c>
      <c r="F62" s="15">
        <v>8114.9</v>
      </c>
      <c r="G62" s="15">
        <v>7505.8</v>
      </c>
      <c r="H62" s="15">
        <v>7200.8</v>
      </c>
      <c r="I62" s="15">
        <v>6890.2</v>
      </c>
      <c r="J62" s="15">
        <v>6615.6</v>
      </c>
      <c r="K62" s="15">
        <v>6619.8</v>
      </c>
      <c r="AH62" s="148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</row>
    <row r="63" spans="1:44">
      <c r="A63" s="13" t="s">
        <v>238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AH63" s="148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</row>
    <row r="64" spans="1:44">
      <c r="A64" s="13" t="s">
        <v>239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AH64" s="148"/>
      <c r="AI64" s="150"/>
      <c r="AJ64" s="150"/>
      <c r="AK64" s="150"/>
      <c r="AL64" s="150"/>
      <c r="AM64" s="150"/>
      <c r="AN64" s="149"/>
      <c r="AO64" s="149"/>
      <c r="AP64" s="149"/>
      <c r="AQ64" s="149"/>
      <c r="AR64" s="149"/>
    </row>
    <row r="65" spans="1:44">
      <c r="A65" s="19" t="s">
        <v>240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AH65" s="151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</row>
    <row r="66" spans="1:44">
      <c r="A66" s="19" t="s">
        <v>241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AH66" s="151"/>
      <c r="AI66" s="152"/>
      <c r="AJ66" s="152"/>
      <c r="AK66" s="152"/>
      <c r="AL66" s="152"/>
      <c r="AM66" s="152"/>
      <c r="AN66" s="153"/>
      <c r="AO66" s="153"/>
      <c r="AP66" s="153"/>
      <c r="AQ66" s="153"/>
      <c r="AR66" s="153"/>
    </row>
    <row r="67" spans="1:44">
      <c r="A67" s="13" t="s">
        <v>229</v>
      </c>
      <c r="B67" s="14">
        <v>0</v>
      </c>
      <c r="C67" s="14">
        <v>0</v>
      </c>
      <c r="D67" s="14">
        <v>4.4000000000000004</v>
      </c>
      <c r="E67" s="15">
        <v>6775.7</v>
      </c>
      <c r="F67" s="15">
        <v>6744.4</v>
      </c>
      <c r="G67" s="15">
        <v>6598.5</v>
      </c>
      <c r="H67" s="15">
        <v>6463</v>
      </c>
      <c r="I67" s="15">
        <v>6279.7</v>
      </c>
      <c r="J67" s="15">
        <v>6101.8</v>
      </c>
      <c r="K67" s="15">
        <v>5963.6</v>
      </c>
      <c r="AH67" s="148"/>
      <c r="AI67" s="150"/>
      <c r="AJ67" s="150"/>
      <c r="AK67" s="150"/>
      <c r="AL67" s="149"/>
      <c r="AM67" s="149"/>
      <c r="AN67" s="149"/>
      <c r="AO67" s="149"/>
      <c r="AP67" s="149"/>
      <c r="AQ67" s="149"/>
      <c r="AR67" s="149"/>
    </row>
    <row r="68" spans="1:44">
      <c r="A68" s="13" t="s">
        <v>242</v>
      </c>
      <c r="B68" s="14">
        <v>43.4</v>
      </c>
      <c r="C68" s="14" t="s">
        <v>37</v>
      </c>
      <c r="D68" s="14" t="s">
        <v>37</v>
      </c>
      <c r="E68" s="14" t="s">
        <v>37</v>
      </c>
      <c r="F68" s="14" t="s">
        <v>37</v>
      </c>
      <c r="G68" s="14" t="s">
        <v>37</v>
      </c>
      <c r="H68" s="14" t="s">
        <v>37</v>
      </c>
      <c r="I68" s="14" t="s">
        <v>37</v>
      </c>
      <c r="J68" s="14" t="s">
        <v>37</v>
      </c>
      <c r="K68" s="14" t="s">
        <v>37</v>
      </c>
      <c r="AH68" s="148"/>
      <c r="AI68" s="150"/>
      <c r="AJ68" s="150"/>
      <c r="AK68" s="150"/>
      <c r="AL68" s="150"/>
      <c r="AM68" s="150"/>
      <c r="AN68" s="150"/>
      <c r="AO68" s="150"/>
      <c r="AP68" s="150"/>
      <c r="AQ68" s="150"/>
      <c r="AR68" s="150"/>
    </row>
    <row r="69" spans="1:44">
      <c r="A69" s="13" t="s">
        <v>230</v>
      </c>
      <c r="B69" s="14">
        <v>14.5</v>
      </c>
      <c r="C69" s="14">
        <v>71.599999999999994</v>
      </c>
      <c r="D69" s="14">
        <v>22.1</v>
      </c>
      <c r="E69" s="14">
        <v>43.5</v>
      </c>
      <c r="F69" s="14">
        <v>12.5</v>
      </c>
      <c r="G69" s="14">
        <v>79.3</v>
      </c>
      <c r="H69" s="14">
        <v>8.1999999999999993</v>
      </c>
      <c r="I69" s="14">
        <v>34</v>
      </c>
      <c r="J69" s="14">
        <v>43.2</v>
      </c>
      <c r="K69" s="14">
        <v>19.3</v>
      </c>
      <c r="AH69" s="148"/>
      <c r="AI69" s="150"/>
      <c r="AJ69" s="150"/>
      <c r="AK69" s="150"/>
      <c r="AL69" s="150"/>
      <c r="AM69" s="150"/>
      <c r="AN69" s="150"/>
      <c r="AO69" s="150"/>
      <c r="AP69" s="150"/>
      <c r="AQ69" s="150"/>
      <c r="AR69" s="150"/>
    </row>
    <row r="70" spans="1:44">
      <c r="A70" s="13" t="s">
        <v>243</v>
      </c>
      <c r="B70" s="14">
        <v>543</v>
      </c>
      <c r="C70" s="14">
        <v>618.1</v>
      </c>
      <c r="D70" s="14">
        <v>728.8</v>
      </c>
      <c r="E70" s="15">
        <v>1387</v>
      </c>
      <c r="F70" s="15">
        <v>1358</v>
      </c>
      <c r="G70" s="14">
        <v>828</v>
      </c>
      <c r="H70" s="14">
        <v>729.6</v>
      </c>
      <c r="I70" s="14">
        <v>576.5</v>
      </c>
      <c r="J70" s="14">
        <v>470.6</v>
      </c>
      <c r="K70" s="14">
        <v>636.9</v>
      </c>
      <c r="AH70" s="151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</row>
    <row r="71" spans="1:44">
      <c r="A71" s="11" t="s">
        <v>99</v>
      </c>
      <c r="B71" s="16">
        <v>2948.4</v>
      </c>
      <c r="C71" s="16">
        <v>3891.9</v>
      </c>
      <c r="D71" s="16">
        <v>4687.8999999999996</v>
      </c>
      <c r="E71" s="16">
        <v>17296.400000000001</v>
      </c>
      <c r="F71" s="16">
        <v>19281.900000000001</v>
      </c>
      <c r="G71" s="16">
        <v>29827.1</v>
      </c>
      <c r="H71" s="16">
        <v>28555.7</v>
      </c>
      <c r="I71" s="16">
        <v>27525.3</v>
      </c>
      <c r="J71" s="16">
        <v>28088</v>
      </c>
      <c r="K71" s="16">
        <v>29710.9</v>
      </c>
      <c r="AH71" s="151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</row>
    <row r="72" spans="1:44">
      <c r="A72" s="11" t="s">
        <v>100</v>
      </c>
      <c r="B72" s="16">
        <v>6596.5</v>
      </c>
      <c r="C72" s="16">
        <v>8438.7999999999993</v>
      </c>
      <c r="D72" s="16">
        <v>8908.6</v>
      </c>
      <c r="E72" s="16">
        <v>22980.6</v>
      </c>
      <c r="F72" s="16">
        <v>25450.6</v>
      </c>
      <c r="G72" s="16">
        <v>37173.9</v>
      </c>
      <c r="H72" s="16">
        <v>36707.1</v>
      </c>
      <c r="I72" s="16">
        <v>36677.1</v>
      </c>
      <c r="J72" s="16">
        <v>37433.300000000003</v>
      </c>
      <c r="K72" s="16">
        <v>38780.9</v>
      </c>
      <c r="AH72" s="148"/>
      <c r="AI72" s="150"/>
      <c r="AJ72" s="150"/>
      <c r="AK72" s="150"/>
      <c r="AL72" s="149"/>
      <c r="AM72" s="149"/>
      <c r="AN72" s="149"/>
      <c r="AO72" s="149"/>
      <c r="AP72" s="149"/>
      <c r="AQ72" s="149"/>
      <c r="AR72" s="149"/>
    </row>
    <row r="73" spans="1:44">
      <c r="A73" s="13" t="s">
        <v>244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AH73" s="148"/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</row>
    <row r="74" spans="1:44">
      <c r="A74" s="13" t="s">
        <v>245</v>
      </c>
      <c r="B74" s="14">
        <v>42.6</v>
      </c>
      <c r="C74" s="14">
        <v>42.6</v>
      </c>
      <c r="D74" s="14">
        <v>42.5</v>
      </c>
      <c r="E74" s="14">
        <v>42.4</v>
      </c>
      <c r="F74" s="14">
        <v>42.3</v>
      </c>
      <c r="G74" s="14">
        <v>375.1</v>
      </c>
      <c r="H74" s="14">
        <v>847.3</v>
      </c>
      <c r="I74" s="14">
        <v>206.4</v>
      </c>
      <c r="J74" s="14">
        <v>39.200000000000003</v>
      </c>
      <c r="K74" s="14">
        <v>323.7</v>
      </c>
      <c r="AH74" s="148"/>
      <c r="AI74" s="150"/>
      <c r="AJ74" s="150"/>
      <c r="AK74" s="150"/>
      <c r="AL74" s="150"/>
      <c r="AM74" s="150"/>
      <c r="AN74" s="150"/>
      <c r="AO74" s="150"/>
      <c r="AP74" s="150"/>
      <c r="AQ74" s="150"/>
      <c r="AR74" s="150"/>
    </row>
    <row r="75" spans="1:44">
      <c r="A75" s="13" t="s">
        <v>246</v>
      </c>
      <c r="B75" s="14">
        <v>1.5</v>
      </c>
      <c r="C75" s="14">
        <v>1.5</v>
      </c>
      <c r="D75" s="14">
        <v>1.4</v>
      </c>
      <c r="E75" s="14">
        <v>1.3</v>
      </c>
      <c r="F75" s="14">
        <v>1.2</v>
      </c>
      <c r="G75" s="14">
        <v>1.2</v>
      </c>
      <c r="H75" s="14">
        <v>1.2</v>
      </c>
      <c r="I75" s="14">
        <v>1.1000000000000001</v>
      </c>
      <c r="J75" s="14">
        <v>1.1000000000000001</v>
      </c>
      <c r="K75" s="14">
        <v>1.1000000000000001</v>
      </c>
      <c r="AH75" s="148"/>
      <c r="AI75" s="150"/>
      <c r="AJ75" s="150"/>
      <c r="AK75" s="150"/>
      <c r="AL75" s="149"/>
      <c r="AM75" s="149"/>
      <c r="AN75" s="150"/>
      <c r="AO75" s="150"/>
      <c r="AP75" s="150"/>
      <c r="AQ75" s="150"/>
      <c r="AR75" s="150"/>
    </row>
    <row r="76" spans="1:44">
      <c r="A76" s="13" t="s">
        <v>247</v>
      </c>
      <c r="B76" s="14">
        <v>41.1</v>
      </c>
      <c r="C76" s="14">
        <v>41.1</v>
      </c>
      <c r="D76" s="14">
        <v>41.1</v>
      </c>
      <c r="E76" s="14">
        <v>41.1</v>
      </c>
      <c r="F76" s="14">
        <v>41.1</v>
      </c>
      <c r="G76" s="14">
        <v>373.9</v>
      </c>
      <c r="H76" s="14">
        <v>846.1</v>
      </c>
      <c r="I76" s="14">
        <v>205.3</v>
      </c>
      <c r="J76" s="14">
        <v>38.1</v>
      </c>
      <c r="K76" s="14">
        <v>322.60000000000002</v>
      </c>
      <c r="AH76" s="146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</row>
    <row r="77" spans="1:44">
      <c r="A77" s="13" t="s">
        <v>248</v>
      </c>
      <c r="B77" s="14"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AH77" s="146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</row>
    <row r="78" spans="1:44">
      <c r="A78" s="13" t="s">
        <v>249</v>
      </c>
      <c r="B78" s="15">
        <v>5974.8</v>
      </c>
      <c r="C78" s="15">
        <v>5949.8</v>
      </c>
      <c r="D78" s="15">
        <v>5563.2</v>
      </c>
      <c r="E78" s="15">
        <v>1457.4</v>
      </c>
      <c r="F78" s="15">
        <v>-5771.2</v>
      </c>
      <c r="G78" s="15">
        <v>-7815.6</v>
      </c>
      <c r="H78" s="15">
        <v>-6315.7</v>
      </c>
      <c r="I78" s="15">
        <v>-8449.7999999999993</v>
      </c>
      <c r="J78" s="15">
        <v>-7255.8</v>
      </c>
      <c r="K78" s="15">
        <v>-7343.8</v>
      </c>
      <c r="AH78" s="148"/>
      <c r="AI78" s="150"/>
      <c r="AJ78" s="150"/>
      <c r="AK78" s="150"/>
      <c r="AL78" s="150"/>
      <c r="AM78" s="150"/>
      <c r="AN78" s="150"/>
      <c r="AO78" s="150"/>
      <c r="AP78" s="150"/>
      <c r="AQ78" s="150"/>
      <c r="AR78" s="150"/>
    </row>
    <row r="79" spans="1:44">
      <c r="A79" s="13" t="s">
        <v>250</v>
      </c>
      <c r="B79" s="14">
        <v>-199.4</v>
      </c>
      <c r="C79" s="14">
        <v>-108.4</v>
      </c>
      <c r="D79" s="14">
        <v>-155.6</v>
      </c>
      <c r="E79" s="14">
        <v>-330.3</v>
      </c>
      <c r="F79" s="14">
        <v>-503.3</v>
      </c>
      <c r="G79" s="14">
        <v>-364.6</v>
      </c>
      <c r="H79" s="14">
        <v>147.19999999999999</v>
      </c>
      <c r="I79" s="14">
        <v>-463.2</v>
      </c>
      <c r="J79" s="14">
        <v>-778.2</v>
      </c>
      <c r="K79" s="14">
        <v>-428.8</v>
      </c>
      <c r="AH79" s="148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</row>
    <row r="80" spans="1:44">
      <c r="A80" s="11" t="s">
        <v>251</v>
      </c>
      <c r="B80" s="16">
        <v>5818</v>
      </c>
      <c r="C80" s="16">
        <v>5884</v>
      </c>
      <c r="D80" s="16">
        <v>5450.1</v>
      </c>
      <c r="E80" s="16">
        <v>1169.5</v>
      </c>
      <c r="F80" s="16">
        <v>-6232.2</v>
      </c>
      <c r="G80" s="16">
        <v>-7805.1</v>
      </c>
      <c r="H80" s="16">
        <v>-5321.2</v>
      </c>
      <c r="I80" s="16">
        <v>-8706.6</v>
      </c>
      <c r="J80" s="16">
        <v>-7994.8</v>
      </c>
      <c r="K80" s="16">
        <v>-7448.9</v>
      </c>
      <c r="AH80" s="148"/>
      <c r="AI80" s="150"/>
      <c r="AJ80" s="150"/>
      <c r="AK80" s="150"/>
      <c r="AL80" s="150"/>
      <c r="AM80" s="150"/>
      <c r="AN80" s="150"/>
      <c r="AO80" s="150"/>
      <c r="AP80" s="150"/>
      <c r="AQ80" s="150"/>
      <c r="AR80" s="150"/>
    </row>
    <row r="81" spans="1:44">
      <c r="A81" s="13" t="s">
        <v>252</v>
      </c>
      <c r="B81" s="14">
        <v>1.8</v>
      </c>
      <c r="C81" s="14">
        <v>6.7</v>
      </c>
      <c r="D81" s="14">
        <v>6.9</v>
      </c>
      <c r="E81" s="14">
        <v>6.3</v>
      </c>
      <c r="F81" s="14">
        <v>1.2</v>
      </c>
      <c r="G81" s="14">
        <v>5.7</v>
      </c>
      <c r="H81" s="14">
        <v>6.7</v>
      </c>
      <c r="I81" s="14">
        <v>7.9</v>
      </c>
      <c r="J81" s="14">
        <v>7</v>
      </c>
      <c r="K81" s="14">
        <v>7.3</v>
      </c>
      <c r="AH81" s="148"/>
      <c r="AI81" s="150"/>
      <c r="AJ81" s="150"/>
      <c r="AK81" s="150"/>
      <c r="AL81" s="150"/>
      <c r="AM81" s="150"/>
      <c r="AN81" s="150"/>
      <c r="AO81" s="150"/>
      <c r="AP81" s="150"/>
      <c r="AQ81" s="150"/>
      <c r="AR81" s="150"/>
    </row>
    <row r="82" spans="1:44">
      <c r="A82" s="11" t="s">
        <v>253</v>
      </c>
      <c r="B82" s="16">
        <v>5819.8</v>
      </c>
      <c r="C82" s="16">
        <v>5890.7</v>
      </c>
      <c r="D82" s="16">
        <v>5457</v>
      </c>
      <c r="E82" s="16">
        <v>1175.8</v>
      </c>
      <c r="F82" s="16">
        <v>-6231</v>
      </c>
      <c r="G82" s="16">
        <v>-7799.4</v>
      </c>
      <c r="H82" s="16">
        <v>-5314.5</v>
      </c>
      <c r="I82" s="16">
        <v>-8698.7000000000007</v>
      </c>
      <c r="J82" s="16">
        <v>-7987.8</v>
      </c>
      <c r="K82" s="16">
        <v>-7441.6</v>
      </c>
      <c r="AH82" s="148"/>
      <c r="AI82" s="150"/>
      <c r="AJ82" s="150"/>
      <c r="AK82" s="150"/>
      <c r="AL82" s="150"/>
      <c r="AM82" s="150"/>
      <c r="AN82" s="150"/>
      <c r="AO82" s="150"/>
      <c r="AP82" s="150"/>
      <c r="AQ82" s="150"/>
      <c r="AR82" s="150"/>
    </row>
    <row r="83" spans="1:44">
      <c r="A83" s="11" t="s">
        <v>254</v>
      </c>
      <c r="B83" s="16">
        <v>12416.3</v>
      </c>
      <c r="C83" s="16">
        <v>14329.5</v>
      </c>
      <c r="D83" s="16">
        <v>14365.6</v>
      </c>
      <c r="E83" s="16">
        <v>24156.400000000001</v>
      </c>
      <c r="F83" s="16">
        <v>19219.599999999999</v>
      </c>
      <c r="G83" s="16">
        <v>29374.5</v>
      </c>
      <c r="H83" s="16">
        <v>31392.6</v>
      </c>
      <c r="I83" s="16">
        <v>27978.400000000001</v>
      </c>
      <c r="J83" s="16">
        <v>29445.5</v>
      </c>
      <c r="K83" s="16">
        <v>31339.3</v>
      </c>
      <c r="AH83" s="148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</row>
    <row r="84" spans="1:44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AH84" s="148"/>
      <c r="AI84" s="150"/>
      <c r="AJ84" s="150"/>
      <c r="AK84" s="150"/>
      <c r="AL84" s="150"/>
      <c r="AM84" s="150"/>
      <c r="AN84" s="150"/>
      <c r="AO84" s="150"/>
      <c r="AP84" s="150"/>
      <c r="AQ84" s="150"/>
      <c r="AR84" s="150"/>
    </row>
    <row r="85" spans="1:44">
      <c r="A85" s="11" t="s">
        <v>167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AH85" s="146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</row>
    <row r="86" spans="1:44">
      <c r="A86" s="13" t="s">
        <v>168</v>
      </c>
      <c r="B86" s="14" t="s">
        <v>169</v>
      </c>
      <c r="C86" s="14" t="s">
        <v>169</v>
      </c>
      <c r="D86" s="14" t="s">
        <v>169</v>
      </c>
      <c r="E86" s="14" t="s">
        <v>169</v>
      </c>
      <c r="F86" s="14" t="s">
        <v>169</v>
      </c>
      <c r="G86" s="14" t="s">
        <v>169</v>
      </c>
      <c r="H86" s="14" t="s">
        <v>169</v>
      </c>
      <c r="I86" s="14" t="s">
        <v>169</v>
      </c>
      <c r="J86" s="14" t="s">
        <v>169</v>
      </c>
      <c r="K86" s="14" t="s">
        <v>169</v>
      </c>
      <c r="AH86" s="148"/>
      <c r="AI86" s="150"/>
      <c r="AJ86" s="150"/>
      <c r="AK86" s="150"/>
      <c r="AL86" s="150"/>
      <c r="AM86" s="150"/>
      <c r="AN86" s="150"/>
      <c r="AO86" s="150"/>
      <c r="AP86" s="150"/>
      <c r="AQ86" s="150"/>
      <c r="AR86" s="150"/>
    </row>
    <row r="87" spans="1:44">
      <c r="A87" s="13" t="s">
        <v>101</v>
      </c>
      <c r="B87" s="15">
        <v>1485.1</v>
      </c>
      <c r="C87" s="15">
        <v>1460.5</v>
      </c>
      <c r="D87" s="15">
        <v>1431.6</v>
      </c>
      <c r="E87" s="15">
        <v>1309.0999999999999</v>
      </c>
      <c r="F87" s="15">
        <v>1184.5999999999999</v>
      </c>
      <c r="G87" s="15">
        <v>1173.3</v>
      </c>
      <c r="H87" s="15">
        <v>1180</v>
      </c>
      <c r="I87" s="15">
        <v>1147.9000000000001</v>
      </c>
      <c r="J87" s="15">
        <v>1142.5999999999999</v>
      </c>
      <c r="K87" s="15">
        <v>1133.5</v>
      </c>
      <c r="AH87" s="146"/>
      <c r="AI87" s="147"/>
      <c r="AJ87" s="147"/>
      <c r="AK87" s="147"/>
      <c r="AL87" s="147"/>
      <c r="AM87" s="147"/>
      <c r="AN87" s="147"/>
      <c r="AO87" s="147"/>
      <c r="AP87" s="147"/>
      <c r="AQ87" s="147"/>
      <c r="AR87" s="147"/>
    </row>
    <row r="88" spans="1:44">
      <c r="A88" s="13" t="s">
        <v>255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AH88" s="146"/>
      <c r="AI88" s="147"/>
      <c r="AJ88" s="147"/>
      <c r="AK88" s="147"/>
      <c r="AL88" s="147"/>
      <c r="AM88" s="147"/>
      <c r="AN88" s="147"/>
      <c r="AO88" s="147"/>
      <c r="AP88" s="147"/>
      <c r="AQ88" s="147"/>
      <c r="AR88" s="147"/>
    </row>
    <row r="89" spans="1:44">
      <c r="A89" s="13" t="s">
        <v>256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</row>
    <row r="90" spans="1:44">
      <c r="A90" s="13" t="s">
        <v>102</v>
      </c>
      <c r="B90" s="15">
        <v>5657.6</v>
      </c>
      <c r="C90" s="15">
        <v>7270.4</v>
      </c>
      <c r="D90" s="15">
        <v>8598</v>
      </c>
      <c r="E90" s="15">
        <v>9353.7999999999993</v>
      </c>
      <c r="F90" s="15">
        <v>10230.9</v>
      </c>
      <c r="G90" s="15">
        <v>10089.6</v>
      </c>
      <c r="H90" s="15">
        <v>10129.9</v>
      </c>
      <c r="I90" s="15">
        <v>9863.7000000000007</v>
      </c>
      <c r="J90" s="15">
        <v>10594.1</v>
      </c>
      <c r="K90" s="15">
        <v>11942.3</v>
      </c>
    </row>
    <row r="91" spans="1:44">
      <c r="A91" s="13" t="s">
        <v>257</v>
      </c>
      <c r="B91" s="14" t="s">
        <v>37</v>
      </c>
      <c r="C91" s="14" t="s">
        <v>37</v>
      </c>
      <c r="D91" s="14" t="s">
        <v>37</v>
      </c>
      <c r="E91" s="14" t="s">
        <v>37</v>
      </c>
      <c r="F91" s="14" t="s">
        <v>37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</row>
    <row r="92" spans="1:44">
      <c r="A92" s="13" t="s">
        <v>104</v>
      </c>
      <c r="B92" s="14">
        <v>6.4</v>
      </c>
      <c r="C92" s="14">
        <v>6.1</v>
      </c>
      <c r="D92" s="14">
        <v>7.1</v>
      </c>
      <c r="E92" s="14">
        <v>3.9</v>
      </c>
      <c r="F92" s="14">
        <v>0.5</v>
      </c>
      <c r="G92" s="14">
        <v>0.1</v>
      </c>
      <c r="H92" s="14">
        <v>0</v>
      </c>
      <c r="I92" s="14">
        <v>0</v>
      </c>
      <c r="J92" s="14">
        <v>0</v>
      </c>
      <c r="K92" s="14">
        <v>0</v>
      </c>
    </row>
    <row r="93" spans="1:44">
      <c r="A93" s="13" t="s">
        <v>258</v>
      </c>
      <c r="B93" s="14">
        <v>33.6</v>
      </c>
      <c r="C93" s="14">
        <v>31.3</v>
      </c>
      <c r="D93" s="14">
        <v>31.4</v>
      </c>
      <c r="E93" s="14">
        <v>27.3</v>
      </c>
      <c r="F93" s="14">
        <v>15.2</v>
      </c>
      <c r="G93" s="14">
        <v>9.1999999999999993</v>
      </c>
      <c r="H93" s="14">
        <v>5.2</v>
      </c>
      <c r="I93" s="14">
        <v>4.0999999999999996</v>
      </c>
      <c r="J93" s="14">
        <v>2</v>
      </c>
      <c r="K93" s="14">
        <v>0.9</v>
      </c>
    </row>
    <row r="94" spans="1:44">
      <c r="A94" s="13" t="s">
        <v>259</v>
      </c>
      <c r="B94" s="14">
        <v>736.1</v>
      </c>
      <c r="C94" s="15">
        <v>1339</v>
      </c>
      <c r="D94" s="15">
        <v>1241.7</v>
      </c>
      <c r="E94" s="14">
        <v>502.3</v>
      </c>
      <c r="F94" s="15">
        <v>8409.9</v>
      </c>
      <c r="G94" s="15">
        <v>20626.7</v>
      </c>
      <c r="H94" s="15">
        <v>16987.2</v>
      </c>
      <c r="I94" s="15">
        <v>20621.900000000001</v>
      </c>
      <c r="J94" s="15">
        <v>20646.8</v>
      </c>
      <c r="K94" s="15">
        <v>22259.9</v>
      </c>
    </row>
    <row r="95" spans="1:44">
      <c r="A95" s="13" t="s">
        <v>260</v>
      </c>
      <c r="B95" s="14">
        <v>12.65</v>
      </c>
      <c r="C95" s="14">
        <v>22.73</v>
      </c>
      <c r="D95" s="14">
        <v>22.75</v>
      </c>
      <c r="E95" s="14">
        <v>42.72</v>
      </c>
      <c r="F95" s="14" t="s">
        <v>37</v>
      </c>
      <c r="G95" s="14" t="s">
        <v>37</v>
      </c>
      <c r="H95" s="14" t="s">
        <v>37</v>
      </c>
      <c r="I95" s="14" t="s">
        <v>37</v>
      </c>
      <c r="J95" s="14" t="s">
        <v>37</v>
      </c>
      <c r="K95" s="14" t="s">
        <v>37</v>
      </c>
    </row>
    <row r="96" spans="1:44">
      <c r="A96" s="13" t="s">
        <v>261</v>
      </c>
      <c r="B96" s="14">
        <v>36.07</v>
      </c>
      <c r="C96" s="14">
        <v>30.17</v>
      </c>
      <c r="D96" s="14">
        <v>28.01</v>
      </c>
      <c r="E96" s="14">
        <v>-17.440000000000001</v>
      </c>
      <c r="F96" s="14">
        <v>-70.28</v>
      </c>
      <c r="G96" s="14">
        <v>-47.39</v>
      </c>
      <c r="H96" s="14">
        <v>-34.159999999999997</v>
      </c>
      <c r="I96" s="14">
        <v>-49.5</v>
      </c>
      <c r="J96" s="14">
        <v>-43.41</v>
      </c>
      <c r="K96" s="14">
        <v>-38.909999999999997</v>
      </c>
    </row>
    <row r="97" spans="1:11">
      <c r="A97" s="13" t="s">
        <v>262</v>
      </c>
      <c r="B97" s="14">
        <v>1.0900000000000001</v>
      </c>
      <c r="C97" s="14">
        <v>1.05</v>
      </c>
      <c r="D97" s="14">
        <v>1.25</v>
      </c>
      <c r="E97" s="14">
        <v>2.2000000000000002</v>
      </c>
      <c r="F97" s="14">
        <v>0.92</v>
      </c>
      <c r="G97" s="14">
        <v>1.06</v>
      </c>
      <c r="H97" s="14">
        <v>1.2</v>
      </c>
      <c r="I97" s="14">
        <v>0.77</v>
      </c>
      <c r="J97" s="14">
        <v>0.78</v>
      </c>
      <c r="K97" s="14">
        <v>0.76</v>
      </c>
    </row>
    <row r="98" spans="1:11">
      <c r="A98" s="13" t="s">
        <v>263</v>
      </c>
      <c r="B98" s="14">
        <v>29.35</v>
      </c>
      <c r="C98" s="14">
        <v>29.2</v>
      </c>
      <c r="D98" s="14">
        <v>27.7</v>
      </c>
      <c r="E98" s="14">
        <v>19.95</v>
      </c>
      <c r="F98" s="14">
        <v>16.309999999999999</v>
      </c>
      <c r="G98" s="14">
        <v>22.47</v>
      </c>
      <c r="H98" s="14">
        <v>20.18</v>
      </c>
      <c r="I98" s="14">
        <v>21.01</v>
      </c>
      <c r="J98" s="14">
        <v>18.579999999999998</v>
      </c>
      <c r="K98" s="14">
        <v>15.09</v>
      </c>
    </row>
    <row r="99" spans="1:11">
      <c r="A99" s="13" t="s">
        <v>264</v>
      </c>
      <c r="B99" s="15">
        <v>1000</v>
      </c>
      <c r="C99" s="15">
        <v>1600</v>
      </c>
      <c r="D99" s="15">
        <v>2100</v>
      </c>
      <c r="E99" s="15">
        <v>1300</v>
      </c>
      <c r="F99" s="15">
        <v>2000</v>
      </c>
      <c r="G99" s="15">
        <v>2000</v>
      </c>
      <c r="H99" s="15">
        <v>2900</v>
      </c>
      <c r="I99" s="15">
        <v>2700</v>
      </c>
      <c r="J99" s="15">
        <v>2500</v>
      </c>
      <c r="K99" s="15">
        <v>2100</v>
      </c>
    </row>
    <row r="100" spans="1:11">
      <c r="A100" s="13" t="s">
        <v>103</v>
      </c>
      <c r="B100" s="15">
        <v>238000</v>
      </c>
      <c r="C100" s="15">
        <v>254000</v>
      </c>
      <c r="D100" s="15">
        <v>277000</v>
      </c>
      <c r="E100" s="15">
        <v>291000</v>
      </c>
      <c r="F100" s="15">
        <v>346000</v>
      </c>
      <c r="G100" s="15">
        <v>349000</v>
      </c>
      <c r="H100" s="15">
        <v>383000</v>
      </c>
      <c r="I100" s="15">
        <v>402000</v>
      </c>
      <c r="J100" s="15">
        <v>381000</v>
      </c>
      <c r="K100" s="15">
        <v>361000</v>
      </c>
    </row>
    <row r="101" spans="1:11">
      <c r="A101" s="17" t="s">
        <v>41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55A5-1EDD-41B4-B532-866C1935491A}">
  <dimension ref="A1:K61"/>
  <sheetViews>
    <sheetView topLeftCell="A3" zoomScale="85" zoomScaleNormal="85" workbookViewId="0">
      <selection activeCell="B33" sqref="B33"/>
    </sheetView>
  </sheetViews>
  <sheetFormatPr defaultRowHeight="14.25"/>
  <cols>
    <col min="1" max="1" width="58.1328125" bestFit="1" customWidth="1"/>
    <col min="2" max="2" width="9.796875" bestFit="1" customWidth="1"/>
    <col min="3" max="4" width="10.33203125" bestFit="1" customWidth="1"/>
    <col min="5" max="7" width="9.796875" bestFit="1" customWidth="1"/>
    <col min="8" max="10" width="10.33203125" bestFit="1" customWidth="1"/>
    <col min="11" max="11" width="9.796875" bestFit="1" customWidth="1"/>
  </cols>
  <sheetData>
    <row r="1" spans="1:11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0.65">
      <c r="A2" s="4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>
      <c r="A4" s="6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</row>
    <row r="5" spans="1:11">
      <c r="A5" s="8" t="s">
        <v>31</v>
      </c>
      <c r="B5" s="9" t="s">
        <v>32</v>
      </c>
      <c r="C5" s="10">
        <v>42410</v>
      </c>
      <c r="D5" s="10">
        <v>42745</v>
      </c>
      <c r="E5" s="9" t="s">
        <v>33</v>
      </c>
      <c r="F5" s="9" t="s">
        <v>34</v>
      </c>
      <c r="G5" s="9" t="s">
        <v>35</v>
      </c>
      <c r="H5" s="10">
        <v>44265</v>
      </c>
      <c r="I5" s="10">
        <v>44602</v>
      </c>
      <c r="J5" s="10">
        <v>44936</v>
      </c>
      <c r="K5" s="9" t="s">
        <v>36</v>
      </c>
    </row>
    <row r="6" spans="1:11">
      <c r="A6" s="11" t="s">
        <v>42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>
      <c r="A7" s="13" t="s">
        <v>43</v>
      </c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1">
      <c r="A8" s="13" t="s">
        <v>44</v>
      </c>
      <c r="B8" s="15">
        <v>2759.3</v>
      </c>
      <c r="C8" s="15">
        <v>2818.9</v>
      </c>
      <c r="D8" s="15">
        <v>2884.9</v>
      </c>
      <c r="E8" s="15">
        <v>4518</v>
      </c>
      <c r="F8" s="15">
        <v>3594.6</v>
      </c>
      <c r="G8" s="14">
        <v>924.7</v>
      </c>
      <c r="H8" s="15">
        <v>4200.3</v>
      </c>
      <c r="I8" s="15">
        <v>3283.4</v>
      </c>
      <c r="J8" s="15">
        <v>4124.7</v>
      </c>
      <c r="K8" s="15">
        <v>3762.3</v>
      </c>
    </row>
    <row r="9" spans="1:11">
      <c r="A9" s="13" t="s">
        <v>45</v>
      </c>
      <c r="B9" s="14">
        <v>933.8</v>
      </c>
      <c r="C9" s="15">
        <v>1030.0999999999999</v>
      </c>
      <c r="D9" s="15">
        <v>1067.0999999999999</v>
      </c>
      <c r="E9" s="15">
        <v>1305.9000000000001</v>
      </c>
      <c r="F9" s="15">
        <v>1449.3</v>
      </c>
      <c r="G9" s="15">
        <v>1503.2</v>
      </c>
      <c r="H9" s="15">
        <v>1524.1</v>
      </c>
      <c r="I9" s="15">
        <v>1529.4</v>
      </c>
      <c r="J9" s="15">
        <v>1450.3</v>
      </c>
      <c r="K9" s="15">
        <v>1592.4</v>
      </c>
    </row>
    <row r="10" spans="1:11">
      <c r="A10" s="13" t="s">
        <v>46</v>
      </c>
      <c r="B10" s="14">
        <v>21.2</v>
      </c>
      <c r="C10" s="14">
        <v>265.7</v>
      </c>
      <c r="D10" s="14">
        <v>95.1</v>
      </c>
      <c r="E10" s="14">
        <v>714.9</v>
      </c>
      <c r="F10" s="15">
        <v>-1495.4</v>
      </c>
      <c r="G10" s="14">
        <v>-25.8</v>
      </c>
      <c r="H10" s="14">
        <v>-146.19999999999999</v>
      </c>
      <c r="I10" s="14">
        <v>-37.799999999999997</v>
      </c>
      <c r="J10" s="14">
        <v>-59.4</v>
      </c>
      <c r="K10" s="14">
        <v>-13.8</v>
      </c>
    </row>
    <row r="11" spans="1:11">
      <c r="A11" s="13" t="s">
        <v>47</v>
      </c>
      <c r="B11" s="14" t="s">
        <v>37</v>
      </c>
      <c r="C11" s="14" t="s">
        <v>37</v>
      </c>
      <c r="D11" s="14" t="s">
        <v>37</v>
      </c>
      <c r="E11" s="14" t="s">
        <v>37</v>
      </c>
      <c r="F11" s="14" t="s">
        <v>37</v>
      </c>
      <c r="G11" s="14" t="s">
        <v>37</v>
      </c>
      <c r="H11" s="14" t="s">
        <v>37</v>
      </c>
      <c r="I11" s="14" t="s">
        <v>37</v>
      </c>
      <c r="J11" s="14">
        <v>-91.3</v>
      </c>
      <c r="K11" s="14">
        <v>0</v>
      </c>
    </row>
    <row r="12" spans="1:11">
      <c r="A12" s="13" t="s">
        <v>48</v>
      </c>
      <c r="B12" s="14">
        <v>209.8</v>
      </c>
      <c r="C12" s="14">
        <v>218.1</v>
      </c>
      <c r="D12" s="14">
        <v>176</v>
      </c>
      <c r="E12" s="14">
        <v>250.3</v>
      </c>
      <c r="F12" s="14">
        <v>308</v>
      </c>
      <c r="G12" s="14">
        <v>248.6</v>
      </c>
      <c r="H12" s="14">
        <v>319.10000000000002</v>
      </c>
      <c r="I12" s="14">
        <v>271.5</v>
      </c>
      <c r="J12" s="14">
        <v>302.7</v>
      </c>
      <c r="K12" s="14">
        <v>308.3</v>
      </c>
    </row>
    <row r="13" spans="1:11">
      <c r="A13" s="13" t="s">
        <v>49</v>
      </c>
      <c r="B13" s="14">
        <v>202</v>
      </c>
      <c r="C13" s="14">
        <v>45.1</v>
      </c>
      <c r="D13" s="14">
        <v>68.900000000000006</v>
      </c>
      <c r="E13" s="14">
        <v>13.4</v>
      </c>
      <c r="F13" s="14">
        <v>45.3</v>
      </c>
      <c r="G13" s="14">
        <v>24.5</v>
      </c>
      <c r="H13" s="14">
        <v>-6</v>
      </c>
      <c r="I13" s="14">
        <v>-67.8</v>
      </c>
      <c r="J13" s="14">
        <v>26.8</v>
      </c>
      <c r="K13" s="14">
        <v>31.9</v>
      </c>
    </row>
    <row r="14" spans="1:11">
      <c r="A14" s="13" t="s">
        <v>50</v>
      </c>
      <c r="B14" s="14">
        <v>-207.9</v>
      </c>
      <c r="C14" s="14">
        <v>-67.5</v>
      </c>
      <c r="D14" s="14">
        <v>14</v>
      </c>
      <c r="E14" s="14">
        <v>-41.2</v>
      </c>
      <c r="F14" s="14">
        <v>-173</v>
      </c>
      <c r="G14" s="14">
        <v>-10.9</v>
      </c>
      <c r="H14" s="14">
        <v>-49.8</v>
      </c>
      <c r="I14" s="14">
        <v>-641</v>
      </c>
      <c r="J14" s="14">
        <v>366.4</v>
      </c>
      <c r="K14" s="14">
        <v>42.8</v>
      </c>
    </row>
    <row r="15" spans="1:11">
      <c r="A15" s="13" t="s">
        <v>51</v>
      </c>
      <c r="B15" s="14">
        <v>137.69999999999999</v>
      </c>
      <c r="C15" s="14">
        <v>46.9</v>
      </c>
      <c r="D15" s="14">
        <v>46.4</v>
      </c>
      <c r="E15" s="14">
        <v>391.6</v>
      </c>
      <c r="F15" s="14">
        <v>31.9</v>
      </c>
      <c r="G15" s="14">
        <v>-210.8</v>
      </c>
      <c r="H15" s="14">
        <v>189.9</v>
      </c>
      <c r="I15" s="14">
        <v>345.5</v>
      </c>
      <c r="J15" s="14">
        <v>100.1</v>
      </c>
      <c r="K15" s="14">
        <v>28</v>
      </c>
    </row>
    <row r="16" spans="1:11">
      <c r="A16" s="13" t="s">
        <v>52</v>
      </c>
      <c r="B16" s="14">
        <v>-82.8</v>
      </c>
      <c r="C16" s="14">
        <v>-55.6</v>
      </c>
      <c r="D16" s="14">
        <v>-96.8</v>
      </c>
      <c r="E16" s="14">
        <v>131</v>
      </c>
      <c r="F16" s="14">
        <v>-197.7</v>
      </c>
      <c r="G16" s="14">
        <v>-2.7</v>
      </c>
      <c r="H16" s="14">
        <v>-43</v>
      </c>
      <c r="I16" s="14">
        <v>-326.10000000000002</v>
      </c>
      <c r="J16" s="14">
        <v>-4.0999999999999996</v>
      </c>
      <c r="K16" s="14">
        <v>18.399999999999999</v>
      </c>
    </row>
    <row r="17" spans="1:11">
      <c r="A17" s="13" t="s">
        <v>53</v>
      </c>
      <c r="B17" s="14" t="s">
        <v>37</v>
      </c>
      <c r="C17" s="14" t="s">
        <v>37</v>
      </c>
      <c r="D17" s="14" t="s">
        <v>37</v>
      </c>
      <c r="E17" s="14" t="s">
        <v>37</v>
      </c>
      <c r="F17" s="14" t="s">
        <v>37</v>
      </c>
      <c r="G17" s="14" t="s">
        <v>37</v>
      </c>
      <c r="H17" s="14" t="s">
        <v>37</v>
      </c>
      <c r="I17" s="14" t="s">
        <v>37</v>
      </c>
      <c r="J17" s="14" t="s">
        <v>37</v>
      </c>
      <c r="K17" s="14" t="s">
        <v>37</v>
      </c>
    </row>
    <row r="18" spans="1:11">
      <c r="A18" s="13" t="s">
        <v>54</v>
      </c>
      <c r="B18" s="14">
        <v>170.3</v>
      </c>
      <c r="C18" s="14">
        <v>180.4</v>
      </c>
      <c r="D18" s="14">
        <v>130.80000000000001</v>
      </c>
      <c r="E18" s="15">
        <v>7109.4</v>
      </c>
      <c r="F18" s="14">
        <v>-30.5</v>
      </c>
      <c r="G18" s="14">
        <v>31</v>
      </c>
      <c r="H18" s="14">
        <v>-6.1</v>
      </c>
      <c r="I18" s="14">
        <v>-75.8</v>
      </c>
      <c r="J18" s="14">
        <v>-110.8</v>
      </c>
      <c r="K18" s="14">
        <v>-72.2</v>
      </c>
    </row>
    <row r="19" spans="1:11">
      <c r="A19" s="13" t="s">
        <v>55</v>
      </c>
      <c r="B19" s="14" t="s">
        <v>37</v>
      </c>
      <c r="C19" s="14" t="s">
        <v>37</v>
      </c>
      <c r="D19" s="14">
        <v>-91.9</v>
      </c>
      <c r="E19" s="14">
        <v>146</v>
      </c>
      <c r="F19" s="15">
        <v>1237.0999999999999</v>
      </c>
      <c r="G19" s="15">
        <v>-1214.5999999999999</v>
      </c>
      <c r="H19" s="14">
        <v>286.10000000000002</v>
      </c>
      <c r="I19" s="14">
        <v>-149.6</v>
      </c>
      <c r="J19" s="14">
        <v>52.5</v>
      </c>
      <c r="K19" s="14">
        <v>-61.9</v>
      </c>
    </row>
    <row r="20" spans="1:11">
      <c r="A20" s="13" t="s">
        <v>56</v>
      </c>
      <c r="B20" s="14" t="s">
        <v>37</v>
      </c>
      <c r="C20" s="14" t="s">
        <v>37</v>
      </c>
      <c r="D20" s="14">
        <v>-20</v>
      </c>
      <c r="E20" s="14">
        <v>-839.5</v>
      </c>
      <c r="F20" s="14">
        <v>922</v>
      </c>
      <c r="G20" s="14">
        <v>-317.5</v>
      </c>
      <c r="H20" s="14">
        <v>251.1</v>
      </c>
      <c r="I20" s="14">
        <v>339.6</v>
      </c>
      <c r="J20" s="14" t="s">
        <v>37</v>
      </c>
      <c r="K20" s="14" t="s">
        <v>37</v>
      </c>
    </row>
    <row r="21" spans="1:11">
      <c r="A21" s="13" t="s">
        <v>57</v>
      </c>
      <c r="B21" s="14">
        <v>-190.2</v>
      </c>
      <c r="C21" s="14">
        <v>-250.2</v>
      </c>
      <c r="D21" s="14">
        <v>-310.2</v>
      </c>
      <c r="E21" s="14">
        <v>-242.8</v>
      </c>
      <c r="F21" s="14">
        <v>-250.6</v>
      </c>
      <c r="G21" s="14">
        <v>-280.7</v>
      </c>
      <c r="H21" s="14">
        <v>-347.3</v>
      </c>
      <c r="I21" s="14">
        <v>-268.7</v>
      </c>
      <c r="J21" s="14">
        <v>-301.8</v>
      </c>
      <c r="K21" s="14">
        <v>-306.39999999999998</v>
      </c>
    </row>
    <row r="22" spans="1:11">
      <c r="A22" s="13" t="s">
        <v>58</v>
      </c>
      <c r="B22" s="14" t="s">
        <v>37</v>
      </c>
      <c r="C22" s="14" t="s">
        <v>37</v>
      </c>
      <c r="D22" s="14" t="s">
        <v>37</v>
      </c>
      <c r="E22" s="14">
        <v>75.599999999999994</v>
      </c>
      <c r="F22" s="14">
        <v>142.6</v>
      </c>
      <c r="G22" s="14">
        <v>454.4</v>
      </c>
      <c r="H22" s="14">
        <v>226.2</v>
      </c>
      <c r="I22" s="14">
        <v>91.4</v>
      </c>
      <c r="J22" s="14">
        <v>101.4</v>
      </c>
      <c r="K22" s="14">
        <v>121.5</v>
      </c>
    </row>
    <row r="23" spans="1:11">
      <c r="A23" s="13" t="s">
        <v>59</v>
      </c>
      <c r="B23" s="14">
        <v>-132.4</v>
      </c>
      <c r="C23" s="14" t="s">
        <v>37</v>
      </c>
      <c r="D23" s="14" t="s">
        <v>37</v>
      </c>
      <c r="E23" s="14" t="s">
        <v>37</v>
      </c>
      <c r="F23" s="14" t="s">
        <v>37</v>
      </c>
      <c r="G23" s="14" t="s">
        <v>37</v>
      </c>
      <c r="H23" s="14" t="s">
        <v>37</v>
      </c>
      <c r="I23" s="14" t="s">
        <v>37</v>
      </c>
      <c r="J23" s="14" t="s">
        <v>37</v>
      </c>
      <c r="K23" s="14" t="s">
        <v>37</v>
      </c>
    </row>
    <row r="24" spans="1:11">
      <c r="A24" s="140" t="s">
        <v>60</v>
      </c>
      <c r="B24" s="141">
        <v>3749.1</v>
      </c>
      <c r="C24" s="141">
        <v>4697.8999999999996</v>
      </c>
      <c r="D24" s="141">
        <v>4251.8</v>
      </c>
      <c r="E24" s="141">
        <v>11937.8</v>
      </c>
      <c r="F24" s="141">
        <v>5047</v>
      </c>
      <c r="G24" s="141">
        <v>1597.8</v>
      </c>
      <c r="H24" s="141">
        <v>5989.1</v>
      </c>
      <c r="I24" s="141">
        <v>4397.3</v>
      </c>
      <c r="J24" s="141">
        <v>6008.7</v>
      </c>
      <c r="K24" s="141">
        <v>6095.6</v>
      </c>
    </row>
    <row r="25" spans="1:11">
      <c r="A25" s="13" t="s">
        <v>61</v>
      </c>
      <c r="B25" s="14">
        <v>261.5</v>
      </c>
      <c r="C25" s="14">
        <v>248.8</v>
      </c>
      <c r="D25" s="14">
        <v>107.2</v>
      </c>
      <c r="E25" s="14">
        <v>16.399999999999999</v>
      </c>
      <c r="F25" s="14">
        <v>-141.1</v>
      </c>
      <c r="G25" s="14">
        <v>280.5</v>
      </c>
      <c r="H25" s="14">
        <v>358.7</v>
      </c>
      <c r="I25" s="14" t="s">
        <v>37</v>
      </c>
      <c r="J25" s="14">
        <v>-93.7</v>
      </c>
      <c r="K25" s="14">
        <v>291</v>
      </c>
    </row>
    <row r="26" spans="1:11">
      <c r="A26" s="13" t="s">
        <v>62</v>
      </c>
      <c r="B26" s="14">
        <v>61.1</v>
      </c>
      <c r="C26" s="14" t="s">
        <v>37</v>
      </c>
      <c r="D26" s="14" t="s">
        <v>37</v>
      </c>
      <c r="E26" s="14" t="s">
        <v>37</v>
      </c>
      <c r="F26" s="14" t="s">
        <v>37</v>
      </c>
      <c r="G26" s="14" t="s">
        <v>37</v>
      </c>
      <c r="H26" s="14" t="s">
        <v>37</v>
      </c>
      <c r="I26" s="14" t="s">
        <v>37</v>
      </c>
      <c r="J26" s="14" t="s">
        <v>37</v>
      </c>
      <c r="K26" s="14" t="s">
        <v>37</v>
      </c>
    </row>
    <row r="27" spans="1:11">
      <c r="A27" s="13" t="s">
        <v>63</v>
      </c>
      <c r="B27" s="14">
        <v>0</v>
      </c>
      <c r="C27" s="14">
        <v>0</v>
      </c>
      <c r="D27" s="14">
        <v>87.2</v>
      </c>
      <c r="E27" s="14">
        <v>37.6</v>
      </c>
      <c r="F27" s="14">
        <v>10.5</v>
      </c>
      <c r="G27" s="14">
        <v>0</v>
      </c>
      <c r="H27" s="14" t="s">
        <v>37</v>
      </c>
      <c r="I27" s="14" t="s">
        <v>37</v>
      </c>
      <c r="J27" s="14" t="s">
        <v>37</v>
      </c>
      <c r="K27" s="14" t="s">
        <v>37</v>
      </c>
    </row>
    <row r="28" spans="1:11">
      <c r="A28" s="13" t="s">
        <v>64</v>
      </c>
      <c r="B28" s="14" t="s">
        <v>37</v>
      </c>
      <c r="C28" s="14">
        <v>223.3</v>
      </c>
      <c r="D28" s="14">
        <v>186.6</v>
      </c>
      <c r="E28" s="14">
        <v>226.8</v>
      </c>
      <c r="F28" s="14">
        <v>216.8</v>
      </c>
      <c r="G28" s="14">
        <v>227.7</v>
      </c>
      <c r="H28" s="14">
        <v>336</v>
      </c>
      <c r="I28" s="14">
        <v>231.2</v>
      </c>
      <c r="J28" s="14">
        <v>222.8</v>
      </c>
      <c r="K28" s="14">
        <v>333.3</v>
      </c>
    </row>
    <row r="29" spans="1:11">
      <c r="A29" s="13" t="s">
        <v>65</v>
      </c>
      <c r="B29" s="14" t="s">
        <v>37</v>
      </c>
      <c r="C29" s="14">
        <v>0</v>
      </c>
      <c r="D29" s="14">
        <v>0</v>
      </c>
      <c r="E29" s="15">
        <v>-1376.4</v>
      </c>
      <c r="F29" s="14" t="s">
        <v>37</v>
      </c>
      <c r="G29" s="14" t="s">
        <v>37</v>
      </c>
      <c r="H29" s="14" t="s">
        <v>37</v>
      </c>
      <c r="I29" s="14" t="s">
        <v>37</v>
      </c>
      <c r="J29" s="14" t="s">
        <v>37</v>
      </c>
      <c r="K29" s="14" t="s">
        <v>37</v>
      </c>
    </row>
    <row r="30" spans="1:11">
      <c r="A30" s="13" t="s">
        <v>66</v>
      </c>
      <c r="B30" s="14">
        <v>-394.3</v>
      </c>
      <c r="C30" s="14">
        <v>-6.1</v>
      </c>
      <c r="D30" s="14">
        <v>-93.5</v>
      </c>
      <c r="E30" s="14">
        <v>-499.2</v>
      </c>
      <c r="F30" s="14">
        <v>-622.79999999999995</v>
      </c>
      <c r="G30" s="14">
        <v>0</v>
      </c>
      <c r="H30" s="14">
        <v>-864.5</v>
      </c>
      <c r="I30" s="14">
        <v>0</v>
      </c>
      <c r="J30" s="14">
        <v>0</v>
      </c>
      <c r="K30" s="14" t="s">
        <v>37</v>
      </c>
    </row>
    <row r="31" spans="1:11">
      <c r="A31" s="13" t="s">
        <v>67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13" t="s">
        <v>68</v>
      </c>
      <c r="B32" s="14" t="s">
        <v>37</v>
      </c>
      <c r="C32" s="14" t="s">
        <v>37</v>
      </c>
      <c r="D32" s="14" t="s">
        <v>37</v>
      </c>
      <c r="E32" s="14" t="s">
        <v>37</v>
      </c>
      <c r="F32" s="14" t="s">
        <v>37</v>
      </c>
      <c r="G32" s="14" t="s">
        <v>37</v>
      </c>
      <c r="H32" s="14" t="s">
        <v>37</v>
      </c>
      <c r="I32" s="14" t="s">
        <v>37</v>
      </c>
      <c r="J32" s="14">
        <v>110</v>
      </c>
      <c r="K32" s="14">
        <v>0</v>
      </c>
    </row>
    <row r="33" spans="1:11">
      <c r="A33" s="13" t="s">
        <v>69</v>
      </c>
      <c r="B33" s="15">
        <v>-1303.7</v>
      </c>
      <c r="C33" s="15">
        <v>-1440.3</v>
      </c>
      <c r="D33" s="15">
        <v>-1519.4</v>
      </c>
      <c r="E33" s="15">
        <v>-1976.4</v>
      </c>
      <c r="F33" s="15">
        <v>-1806.6</v>
      </c>
      <c r="G33" s="15">
        <v>-1483.6</v>
      </c>
      <c r="H33" s="15">
        <v>-1470</v>
      </c>
      <c r="I33" s="15">
        <v>-1841.3</v>
      </c>
      <c r="J33" s="15">
        <v>-2333.6</v>
      </c>
      <c r="K33" s="15">
        <v>-2777.5</v>
      </c>
    </row>
    <row r="34" spans="1:11">
      <c r="A34" s="13" t="s">
        <v>70</v>
      </c>
      <c r="B34" s="14">
        <v>619.4</v>
      </c>
      <c r="C34" s="14">
        <v>680.7</v>
      </c>
      <c r="D34" s="15">
        <v>1054.5</v>
      </c>
      <c r="E34" s="14">
        <v>459</v>
      </c>
      <c r="F34" s="14">
        <v>298.3</v>
      </c>
      <c r="G34" s="14">
        <v>186.7</v>
      </c>
      <c r="H34" s="14">
        <v>143.19999999999999</v>
      </c>
      <c r="I34" s="14">
        <v>72.599999999999994</v>
      </c>
      <c r="J34" s="14">
        <v>2.5</v>
      </c>
      <c r="K34" s="14">
        <v>10.3</v>
      </c>
    </row>
    <row r="35" spans="1:11">
      <c r="A35" s="13" t="s">
        <v>71</v>
      </c>
      <c r="B35" s="14">
        <v>-567.4</v>
      </c>
      <c r="C35" s="15">
        <v>-1585.7</v>
      </c>
      <c r="D35" s="14">
        <v>-674.4</v>
      </c>
      <c r="E35" s="14">
        <v>-191.9</v>
      </c>
      <c r="F35" s="14">
        <v>-190.4</v>
      </c>
      <c r="G35" s="14">
        <v>-443.9</v>
      </c>
      <c r="H35" s="14">
        <v>-432</v>
      </c>
      <c r="I35" s="14">
        <v>-377.9</v>
      </c>
      <c r="J35" s="14">
        <v>-610.5</v>
      </c>
      <c r="K35" s="14">
        <v>-627.5</v>
      </c>
    </row>
    <row r="36" spans="1:11">
      <c r="A36" s="13" t="s">
        <v>72</v>
      </c>
      <c r="B36" s="14">
        <v>-284.3</v>
      </c>
      <c r="C36" s="14">
        <v>0</v>
      </c>
      <c r="D36" s="14">
        <v>0</v>
      </c>
      <c r="E36" s="14" t="s">
        <v>37</v>
      </c>
      <c r="F36" s="14" t="s">
        <v>37</v>
      </c>
      <c r="G36" s="14" t="s">
        <v>37</v>
      </c>
      <c r="H36" s="14" t="s">
        <v>37</v>
      </c>
      <c r="I36" s="14" t="s">
        <v>37</v>
      </c>
      <c r="J36" s="14" t="s">
        <v>37</v>
      </c>
      <c r="K36" s="14" t="s">
        <v>37</v>
      </c>
    </row>
    <row r="37" spans="1:11">
      <c r="A37" s="13" t="s">
        <v>73</v>
      </c>
      <c r="B37" s="14">
        <v>15.7</v>
      </c>
      <c r="C37" s="14">
        <v>24.9</v>
      </c>
      <c r="D37" s="14">
        <v>54.3</v>
      </c>
      <c r="E37" s="14">
        <v>5.6</v>
      </c>
      <c r="F37" s="14">
        <v>-56.2</v>
      </c>
      <c r="G37" s="14">
        <v>-44.4</v>
      </c>
      <c r="H37" s="14">
        <v>-81.2</v>
      </c>
      <c r="I37" s="14">
        <v>-126.3</v>
      </c>
      <c r="J37" s="14">
        <v>-56.1</v>
      </c>
      <c r="K37" s="14">
        <v>-72.7</v>
      </c>
    </row>
    <row r="38" spans="1:11">
      <c r="A38" s="13" t="s">
        <v>74</v>
      </c>
      <c r="B38" s="14" t="s">
        <v>37</v>
      </c>
      <c r="C38" s="14" t="s">
        <v>37</v>
      </c>
      <c r="D38" s="14" t="s">
        <v>37</v>
      </c>
      <c r="E38" s="14" t="s">
        <v>37</v>
      </c>
      <c r="F38" s="14" t="s">
        <v>37</v>
      </c>
      <c r="G38" s="14">
        <v>0</v>
      </c>
      <c r="H38" s="15">
        <v>1175</v>
      </c>
      <c r="I38" s="14">
        <v>59.3</v>
      </c>
      <c r="J38" s="14">
        <v>0</v>
      </c>
      <c r="K38" s="14">
        <v>0</v>
      </c>
    </row>
    <row r="39" spans="1:11">
      <c r="A39" s="13" t="s">
        <v>75</v>
      </c>
      <c r="B39" s="14" t="s">
        <v>37</v>
      </c>
      <c r="C39" s="14">
        <v>69.599999999999994</v>
      </c>
      <c r="D39" s="14">
        <v>85.4</v>
      </c>
      <c r="E39" s="14">
        <v>608.20000000000005</v>
      </c>
      <c r="F39" s="14">
        <v>684.3</v>
      </c>
      <c r="G39" s="14" t="s">
        <v>37</v>
      </c>
      <c r="H39" s="14" t="s">
        <v>37</v>
      </c>
      <c r="I39" s="14" t="s">
        <v>37</v>
      </c>
      <c r="J39" s="14" t="s">
        <v>37</v>
      </c>
      <c r="K39" s="14" t="s">
        <v>37</v>
      </c>
    </row>
    <row r="40" spans="1:11">
      <c r="A40" s="13" t="s">
        <v>76</v>
      </c>
      <c r="B40" s="14" t="s">
        <v>37</v>
      </c>
      <c r="C40" s="14" t="s">
        <v>37</v>
      </c>
      <c r="D40" s="14" t="s">
        <v>37</v>
      </c>
      <c r="E40" s="15">
        <v>-1311.3</v>
      </c>
      <c r="F40" s="14" t="s">
        <v>37</v>
      </c>
      <c r="G40" s="14" t="s">
        <v>37</v>
      </c>
      <c r="H40" s="14" t="s">
        <v>37</v>
      </c>
      <c r="I40" s="14" t="s">
        <v>37</v>
      </c>
      <c r="J40" s="14" t="s">
        <v>37</v>
      </c>
      <c r="K40" s="14" t="s">
        <v>37</v>
      </c>
    </row>
    <row r="41" spans="1:11">
      <c r="A41" s="50" t="s">
        <v>77</v>
      </c>
      <c r="B41" s="51">
        <v>-1520.3</v>
      </c>
      <c r="C41" s="51">
        <v>-2222.9</v>
      </c>
      <c r="D41" s="142">
        <v>-850</v>
      </c>
      <c r="E41" s="51">
        <v>-2361.5</v>
      </c>
      <c r="F41" s="51">
        <v>-1010.8</v>
      </c>
      <c r="G41" s="51">
        <v>-1711.5</v>
      </c>
      <c r="H41" s="142">
        <v>-319.5</v>
      </c>
      <c r="I41" s="51">
        <v>-2146.3000000000002</v>
      </c>
      <c r="J41" s="51">
        <v>-2270.8000000000002</v>
      </c>
      <c r="K41" s="51">
        <v>-2699.2</v>
      </c>
    </row>
    <row r="42" spans="1:11">
      <c r="A42" s="13" t="s">
        <v>78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3" t="s">
        <v>79</v>
      </c>
      <c r="B43" s="14">
        <v>-928.6</v>
      </c>
      <c r="C43" s="15">
        <v>-1178</v>
      </c>
      <c r="D43" s="15">
        <v>-1450.4</v>
      </c>
      <c r="E43" s="15">
        <v>-1743.4</v>
      </c>
      <c r="F43" s="15">
        <v>-1761.3</v>
      </c>
      <c r="G43" s="15">
        <v>-1923.5</v>
      </c>
      <c r="H43" s="15">
        <v>-2119</v>
      </c>
      <c r="I43" s="15">
        <v>-2263.3000000000002</v>
      </c>
      <c r="J43" s="15">
        <v>-2431.8000000000002</v>
      </c>
      <c r="K43" s="15">
        <v>-2585</v>
      </c>
    </row>
    <row r="44" spans="1:11">
      <c r="A44" s="13" t="s">
        <v>80</v>
      </c>
      <c r="B44" s="14" t="s">
        <v>37</v>
      </c>
      <c r="C44" s="14" t="s">
        <v>37</v>
      </c>
      <c r="D44" s="14" t="s">
        <v>37</v>
      </c>
      <c r="E44" s="14">
        <v>0</v>
      </c>
      <c r="F44" s="14">
        <v>0</v>
      </c>
      <c r="G44" s="15">
        <v>1406.6</v>
      </c>
      <c r="H44" s="14">
        <v>215.1</v>
      </c>
      <c r="I44" s="14">
        <v>211.6</v>
      </c>
      <c r="J44" s="14">
        <v>-60.4</v>
      </c>
      <c r="K44" s="14">
        <v>123.8</v>
      </c>
    </row>
    <row r="45" spans="1:11">
      <c r="A45" s="13" t="s">
        <v>81</v>
      </c>
      <c r="B45" s="14" t="s">
        <v>37</v>
      </c>
      <c r="C45" s="14" t="s">
        <v>37</v>
      </c>
      <c r="D45" s="14" t="s">
        <v>37</v>
      </c>
      <c r="E45" s="14">
        <v>0</v>
      </c>
      <c r="F45" s="14">
        <v>0</v>
      </c>
      <c r="G45" s="14">
        <v>-967.7</v>
      </c>
      <c r="H45" s="14">
        <v>-646.29999999999995</v>
      </c>
      <c r="I45" s="14">
        <v>-36.6</v>
      </c>
      <c r="J45" s="14">
        <v>-78.8</v>
      </c>
      <c r="K45" s="14">
        <v>-157.5</v>
      </c>
    </row>
    <row r="46" spans="1:11">
      <c r="A46" s="13" t="s">
        <v>82</v>
      </c>
      <c r="B46" s="14">
        <v>848.5</v>
      </c>
      <c r="C46" s="15">
        <v>1254.5</v>
      </c>
      <c r="D46" s="14">
        <v>750.2</v>
      </c>
      <c r="E46" s="15">
        <v>5584.1</v>
      </c>
      <c r="F46" s="15">
        <v>1996</v>
      </c>
      <c r="G46" s="15">
        <v>4727.6000000000004</v>
      </c>
      <c r="H46" s="14">
        <v>0</v>
      </c>
      <c r="I46" s="15">
        <v>1498.1</v>
      </c>
      <c r="J46" s="15">
        <v>1497.8</v>
      </c>
      <c r="K46" s="15">
        <v>1995.3</v>
      </c>
    </row>
    <row r="47" spans="1:11">
      <c r="A47" s="13" t="s">
        <v>83</v>
      </c>
      <c r="B47" s="14">
        <v>-610.1</v>
      </c>
      <c r="C47" s="14">
        <v>0</v>
      </c>
      <c r="D47" s="14">
        <v>-400</v>
      </c>
      <c r="E47" s="14">
        <v>0</v>
      </c>
      <c r="F47" s="14">
        <v>-350</v>
      </c>
      <c r="G47" s="14">
        <v>0</v>
      </c>
      <c r="H47" s="15">
        <v>-1250</v>
      </c>
      <c r="I47" s="15">
        <v>-1000</v>
      </c>
      <c r="J47" s="15">
        <v>-1000</v>
      </c>
      <c r="K47" s="15">
        <v>-1825.1</v>
      </c>
    </row>
    <row r="48" spans="1:11">
      <c r="A48" s="13" t="s">
        <v>84</v>
      </c>
      <c r="B48" s="14">
        <v>191.8</v>
      </c>
      <c r="C48" s="14">
        <v>160.69999999999999</v>
      </c>
      <c r="D48" s="14">
        <v>150.80000000000001</v>
      </c>
      <c r="E48" s="14">
        <v>153.9</v>
      </c>
      <c r="F48" s="14">
        <v>409.8</v>
      </c>
      <c r="G48" s="14">
        <v>298.8</v>
      </c>
      <c r="H48" s="14">
        <v>246.2</v>
      </c>
      <c r="I48" s="14">
        <v>101.6</v>
      </c>
      <c r="J48" s="14">
        <v>167.4</v>
      </c>
      <c r="K48" s="14">
        <v>108</v>
      </c>
    </row>
    <row r="49" spans="1:11">
      <c r="A49" s="13" t="s">
        <v>85</v>
      </c>
      <c r="B49" s="15">
        <v>-1436.1</v>
      </c>
      <c r="C49" s="15">
        <v>-1995.6</v>
      </c>
      <c r="D49" s="15">
        <v>-2042.5</v>
      </c>
      <c r="E49" s="15">
        <v>-7133.5</v>
      </c>
      <c r="F49" s="15">
        <v>-10222.299999999999</v>
      </c>
      <c r="G49" s="15">
        <v>-1698.9</v>
      </c>
      <c r="H49" s="14">
        <v>0</v>
      </c>
      <c r="I49" s="15">
        <v>-4013</v>
      </c>
      <c r="J49" s="14">
        <v>-984.4</v>
      </c>
      <c r="K49" s="15">
        <v>-1266.7</v>
      </c>
    </row>
    <row r="50" spans="1:11">
      <c r="A50" s="13" t="s">
        <v>86</v>
      </c>
      <c r="B50" s="14">
        <v>-150.6</v>
      </c>
      <c r="C50" s="14">
        <v>-3.5</v>
      </c>
      <c r="D50" s="14">
        <v>10.8</v>
      </c>
      <c r="E50" s="14">
        <v>-39.5</v>
      </c>
      <c r="F50" s="14">
        <v>-49</v>
      </c>
      <c r="G50" s="14">
        <v>64.7</v>
      </c>
      <c r="H50" s="14">
        <v>86.2</v>
      </c>
      <c r="I50" s="14">
        <v>-250.3</v>
      </c>
      <c r="J50" s="14">
        <v>-14.2</v>
      </c>
      <c r="K50" s="14">
        <v>56.5</v>
      </c>
    </row>
    <row r="51" spans="1:11">
      <c r="A51" s="13" t="s">
        <v>87</v>
      </c>
      <c r="B51" s="14">
        <v>-18.100000000000001</v>
      </c>
      <c r="C51" s="14">
        <v>-8.4</v>
      </c>
      <c r="D51" s="14">
        <v>-4.4000000000000004</v>
      </c>
      <c r="E51" s="14">
        <v>-41.2</v>
      </c>
      <c r="F51" s="14">
        <v>-17.5</v>
      </c>
      <c r="G51" s="14">
        <v>-37.700000000000003</v>
      </c>
      <c r="H51" s="14">
        <v>0</v>
      </c>
      <c r="I51" s="14">
        <v>-9.1999999999999993</v>
      </c>
      <c r="J51" s="14">
        <v>-11.1</v>
      </c>
      <c r="K51" s="14">
        <v>-10.6</v>
      </c>
    </row>
    <row r="52" spans="1:11">
      <c r="A52" s="13" t="s">
        <v>88</v>
      </c>
      <c r="B52" s="15">
        <v>1072.2</v>
      </c>
      <c r="C52" s="14">
        <v>878.7</v>
      </c>
      <c r="D52" s="15">
        <v>1389.1</v>
      </c>
      <c r="E52" s="15">
        <v>1176.9000000000001</v>
      </c>
      <c r="F52" s="14">
        <v>470.1</v>
      </c>
      <c r="G52" s="15">
        <v>1699.1</v>
      </c>
      <c r="H52" s="14">
        <v>756.3</v>
      </c>
      <c r="I52" s="15">
        <v>1157.5999999999999</v>
      </c>
      <c r="J52" s="15">
        <v>1294.2</v>
      </c>
      <c r="K52" s="15">
        <v>1373.3</v>
      </c>
    </row>
    <row r="53" spans="1:11">
      <c r="A53" s="13" t="s">
        <v>89</v>
      </c>
      <c r="B53" s="14">
        <v>69.5</v>
      </c>
      <c r="C53" s="14">
        <v>74.7</v>
      </c>
      <c r="D53" s="14">
        <v>96.6</v>
      </c>
      <c r="E53" s="14">
        <v>137.1</v>
      </c>
      <c r="F53" s="14">
        <v>299.5</v>
      </c>
      <c r="G53" s="14">
        <v>396.9</v>
      </c>
      <c r="H53" s="14">
        <v>501.1</v>
      </c>
      <c r="I53" s="14">
        <v>474.7</v>
      </c>
      <c r="J53" s="14">
        <v>524.29999999999995</v>
      </c>
      <c r="K53" s="14">
        <v>570.70000000000005</v>
      </c>
    </row>
    <row r="54" spans="1:11">
      <c r="A54" s="13" t="s">
        <v>90</v>
      </c>
      <c r="B54" s="14">
        <v>-178.3</v>
      </c>
      <c r="C54" s="14">
        <v>598.70000000000005</v>
      </c>
      <c r="D54" s="14">
        <v>333.5</v>
      </c>
      <c r="E54" s="15">
        <v>6294</v>
      </c>
      <c r="F54" s="15">
        <v>-6069.7</v>
      </c>
      <c r="G54" s="15">
        <v>1664.3</v>
      </c>
      <c r="H54" s="15">
        <v>2104.8000000000002</v>
      </c>
      <c r="I54" s="15">
        <v>-3637.3</v>
      </c>
      <c r="J54" s="14">
        <v>733.1</v>
      </c>
      <c r="K54" s="14">
        <v>-265.3</v>
      </c>
    </row>
    <row r="55" spans="1:11">
      <c r="A55" s="13" t="s">
        <v>91</v>
      </c>
      <c r="B55" s="15">
        <v>1530.1</v>
      </c>
      <c r="C55" s="15">
        <v>2128.8000000000002</v>
      </c>
      <c r="D55" s="15">
        <v>2462.3000000000002</v>
      </c>
      <c r="E55" s="15">
        <v>8756.2999999999993</v>
      </c>
      <c r="F55" s="15">
        <v>2686.6</v>
      </c>
      <c r="G55" s="15">
        <v>4350.8999999999996</v>
      </c>
      <c r="H55" s="15">
        <v>6455.7</v>
      </c>
      <c r="I55" s="15">
        <v>2818.4</v>
      </c>
      <c r="J55" s="15">
        <v>3551.5</v>
      </c>
      <c r="K55" s="15">
        <v>3286.2</v>
      </c>
    </row>
    <row r="56" spans="1:11">
      <c r="A56" s="13" t="s">
        <v>92</v>
      </c>
      <c r="B56" s="15">
        <v>1708.4</v>
      </c>
      <c r="C56" s="15">
        <v>1530.1</v>
      </c>
      <c r="D56" s="15">
        <v>2128.8000000000002</v>
      </c>
      <c r="E56" s="15">
        <v>2462.3000000000002</v>
      </c>
      <c r="F56" s="15">
        <v>8756.2999999999993</v>
      </c>
      <c r="G56" s="15">
        <v>2686.6</v>
      </c>
      <c r="H56" s="15">
        <v>4350.8999999999996</v>
      </c>
      <c r="I56" s="15">
        <v>6455.7</v>
      </c>
      <c r="J56" s="15">
        <v>2818.4</v>
      </c>
      <c r="K56" s="15">
        <v>3551.5</v>
      </c>
    </row>
    <row r="57" spans="1:11">
      <c r="A57" s="13" t="s">
        <v>93</v>
      </c>
      <c r="B57" s="14">
        <v>-360.8</v>
      </c>
      <c r="C57" s="14" t="s">
        <v>37</v>
      </c>
      <c r="D57" s="14" t="s">
        <v>37</v>
      </c>
      <c r="E57" s="14" t="s">
        <v>37</v>
      </c>
      <c r="F57" s="14" t="s">
        <v>37</v>
      </c>
      <c r="G57" s="14" t="s">
        <v>37</v>
      </c>
      <c r="H57" s="14" t="s">
        <v>37</v>
      </c>
      <c r="I57" s="14" t="s">
        <v>37</v>
      </c>
      <c r="J57" s="14" t="s">
        <v>37</v>
      </c>
      <c r="K57" s="14" t="s">
        <v>37</v>
      </c>
    </row>
    <row r="58" spans="1:11">
      <c r="A58" s="13" t="s">
        <v>94</v>
      </c>
      <c r="B58" s="14">
        <v>56.9</v>
      </c>
      <c r="C58" s="14" t="s">
        <v>37</v>
      </c>
      <c r="D58" s="14" t="s">
        <v>37</v>
      </c>
      <c r="E58" s="14" t="s">
        <v>37</v>
      </c>
      <c r="F58" s="14" t="s">
        <v>37</v>
      </c>
      <c r="G58" s="14" t="s">
        <v>37</v>
      </c>
      <c r="H58" s="14" t="s">
        <v>37</v>
      </c>
      <c r="I58" s="14" t="s">
        <v>37</v>
      </c>
      <c r="J58" s="14" t="s">
        <v>37</v>
      </c>
      <c r="K58" s="14" t="s">
        <v>37</v>
      </c>
    </row>
    <row r="59" spans="1:11">
      <c r="A59" s="11" t="s">
        <v>95</v>
      </c>
      <c r="B59" s="16">
        <v>-2256.5</v>
      </c>
      <c r="C59" s="16">
        <v>-1872.8</v>
      </c>
      <c r="D59" s="16">
        <v>-3079.1</v>
      </c>
      <c r="E59" s="16">
        <v>-3242.8</v>
      </c>
      <c r="F59" s="16">
        <v>-10056.9</v>
      </c>
      <c r="G59" s="16">
        <v>1713.3</v>
      </c>
      <c r="H59" s="16">
        <v>-3651</v>
      </c>
      <c r="I59" s="16">
        <v>-5638</v>
      </c>
      <c r="J59" s="16">
        <v>-2990.6</v>
      </c>
      <c r="K59" s="16">
        <v>-3718.2</v>
      </c>
    </row>
    <row r="60" spans="1:11">
      <c r="A60" s="13" t="s">
        <v>38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spans="1:11">
      <c r="A61" s="17" t="s">
        <v>41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8548-759B-4119-847C-2A7569D801F1}">
  <dimension ref="A1:N141"/>
  <sheetViews>
    <sheetView topLeftCell="A2" zoomScale="87" zoomScaleNormal="77" workbookViewId="0">
      <selection activeCell="L15" sqref="L15"/>
    </sheetView>
  </sheetViews>
  <sheetFormatPr defaultRowHeight="14.25"/>
  <cols>
    <col min="1" max="1" width="60.46484375" bestFit="1" customWidth="1"/>
    <col min="2" max="2" width="9.796875" bestFit="1" customWidth="1"/>
    <col min="3" max="4" width="10.265625" bestFit="1" customWidth="1"/>
    <col min="5" max="7" width="9.796875" bestFit="1" customWidth="1"/>
    <col min="8" max="10" width="10.265625" bestFit="1" customWidth="1"/>
    <col min="11" max="11" width="10.33203125" bestFit="1" customWidth="1"/>
  </cols>
  <sheetData>
    <row r="1" spans="1:14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4" ht="20.65">
      <c r="A2" s="4" t="s">
        <v>107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N3" s="23"/>
    </row>
    <row r="4" spans="1:14">
      <c r="A4" s="6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</row>
    <row r="5" spans="1:14">
      <c r="A5" s="8" t="s">
        <v>31</v>
      </c>
      <c r="B5" s="9" t="s">
        <v>32</v>
      </c>
      <c r="C5" s="10">
        <v>42410</v>
      </c>
      <c r="D5" s="10">
        <v>42745</v>
      </c>
      <c r="E5" s="9" t="s">
        <v>33</v>
      </c>
      <c r="F5" s="9" t="s">
        <v>34</v>
      </c>
      <c r="G5" s="9" t="s">
        <v>35</v>
      </c>
      <c r="H5" s="10">
        <v>44265</v>
      </c>
      <c r="I5" s="10">
        <v>44602</v>
      </c>
      <c r="J5" s="10">
        <v>44936</v>
      </c>
      <c r="K5" s="9" t="s">
        <v>36</v>
      </c>
    </row>
    <row r="6" spans="1:14">
      <c r="A6" s="11" t="s">
        <v>108</v>
      </c>
      <c r="B6" s="16">
        <v>19162.7</v>
      </c>
      <c r="C6" s="16">
        <v>21315.9</v>
      </c>
      <c r="D6" s="16">
        <v>22386.799999999999</v>
      </c>
      <c r="E6" s="16">
        <v>24719.5</v>
      </c>
      <c r="F6" s="16">
        <v>26508.6</v>
      </c>
      <c r="G6" s="16">
        <v>23518</v>
      </c>
      <c r="H6" s="16">
        <v>29060.6</v>
      </c>
      <c r="I6" s="16">
        <v>32250.3</v>
      </c>
      <c r="J6" s="16">
        <v>35975.599999999999</v>
      </c>
      <c r="K6" s="16">
        <v>36176.199999999997</v>
      </c>
      <c r="N6" s="23"/>
    </row>
    <row r="7" spans="1:14">
      <c r="A7" s="19" t="s">
        <v>109</v>
      </c>
      <c r="B7" s="20">
        <v>16.5</v>
      </c>
      <c r="C7" s="20">
        <v>11.2</v>
      </c>
      <c r="D7" s="20">
        <v>5</v>
      </c>
      <c r="E7" s="20">
        <v>10.4</v>
      </c>
      <c r="F7" s="20">
        <v>7.2</v>
      </c>
      <c r="G7" s="20">
        <v>-11.3</v>
      </c>
      <c r="H7" s="20">
        <v>23.6</v>
      </c>
      <c r="I7" s="20">
        <v>11</v>
      </c>
      <c r="J7" s="20">
        <v>11.6</v>
      </c>
      <c r="K7" s="20">
        <v>0.6</v>
      </c>
    </row>
    <row r="8" spans="1:14">
      <c r="A8" s="13" t="s">
        <v>110</v>
      </c>
      <c r="B8" s="15">
        <v>17300.8</v>
      </c>
      <c r="C8" s="15">
        <v>19161.7</v>
      </c>
      <c r="D8" s="15">
        <v>20005.7</v>
      </c>
      <c r="E8" s="15">
        <v>22067.3</v>
      </c>
      <c r="F8" s="15">
        <v>23633.599999999999</v>
      </c>
      <c r="G8" s="15">
        <v>21190.9</v>
      </c>
      <c r="H8" s="15">
        <v>26377</v>
      </c>
      <c r="I8" s="15">
        <v>28594.799999999999</v>
      </c>
      <c r="J8" s="15">
        <v>31462.9</v>
      </c>
      <c r="K8" s="15">
        <v>31671.1</v>
      </c>
    </row>
    <row r="9" spans="1:14">
      <c r="A9" s="19" t="s">
        <v>109</v>
      </c>
      <c r="B9" s="20">
        <v>16.399999999999999</v>
      </c>
      <c r="C9" s="20">
        <v>10.8</v>
      </c>
      <c r="D9" s="20">
        <v>4.4000000000000004</v>
      </c>
      <c r="E9" s="20">
        <v>10.3</v>
      </c>
      <c r="F9" s="20">
        <v>7.1</v>
      </c>
      <c r="G9" s="20">
        <v>-10.3</v>
      </c>
      <c r="H9" s="20">
        <v>24.5</v>
      </c>
      <c r="I9" s="20">
        <v>8.4</v>
      </c>
      <c r="J9" s="20">
        <v>10</v>
      </c>
      <c r="K9" s="20">
        <v>0.7</v>
      </c>
    </row>
    <row r="10" spans="1:14">
      <c r="A10" s="13" t="s">
        <v>111</v>
      </c>
      <c r="B10" s="15">
        <v>1861.9</v>
      </c>
      <c r="C10" s="15">
        <v>2154.1999999999998</v>
      </c>
      <c r="D10" s="15">
        <v>2381.1</v>
      </c>
      <c r="E10" s="15">
        <v>2652.2</v>
      </c>
      <c r="F10" s="15">
        <v>2875</v>
      </c>
      <c r="G10" s="15">
        <v>2327.1</v>
      </c>
      <c r="H10" s="15">
        <v>2683.6</v>
      </c>
      <c r="I10" s="15">
        <v>3655.5</v>
      </c>
      <c r="J10" s="15">
        <v>4512.7</v>
      </c>
      <c r="K10" s="15">
        <v>4505.1000000000004</v>
      </c>
    </row>
    <row r="11" spans="1:14">
      <c r="A11" s="19" t="s">
        <v>109</v>
      </c>
      <c r="B11" s="20">
        <v>17.2</v>
      </c>
      <c r="C11" s="20">
        <v>15.7</v>
      </c>
      <c r="D11" s="20">
        <v>10.5</v>
      </c>
      <c r="E11" s="20">
        <v>11.4</v>
      </c>
      <c r="F11" s="20">
        <v>8.4</v>
      </c>
      <c r="G11" s="20">
        <v>-19.100000000000001</v>
      </c>
      <c r="H11" s="20">
        <v>15.3</v>
      </c>
      <c r="I11" s="20">
        <v>36.200000000000003</v>
      </c>
      <c r="J11" s="20">
        <v>23.4</v>
      </c>
      <c r="K11" s="20">
        <v>-0.2</v>
      </c>
    </row>
    <row r="12" spans="1:14">
      <c r="A12" s="13" t="s">
        <v>112</v>
      </c>
      <c r="B12" s="15">
        <v>13198.6</v>
      </c>
      <c r="C12" s="15">
        <v>14573.3</v>
      </c>
      <c r="D12" s="15">
        <v>15552.2</v>
      </c>
      <c r="E12" s="15">
        <v>17402.900000000001</v>
      </c>
      <c r="F12" s="15">
        <v>19020.5</v>
      </c>
      <c r="G12" s="15">
        <v>18458.900000000001</v>
      </c>
      <c r="H12" s="15">
        <v>20652</v>
      </c>
      <c r="I12" s="15">
        <v>23879.200000000001</v>
      </c>
      <c r="J12" s="15">
        <v>26129.4</v>
      </c>
      <c r="K12" s="15">
        <v>26467.1</v>
      </c>
    </row>
    <row r="13" spans="1:14">
      <c r="A13" s="19" t="s">
        <v>109</v>
      </c>
      <c r="B13" s="20">
        <v>14.8</v>
      </c>
      <c r="C13" s="20">
        <v>10.4</v>
      </c>
      <c r="D13" s="20">
        <v>6.7</v>
      </c>
      <c r="E13" s="20">
        <v>11.9</v>
      </c>
      <c r="F13" s="20">
        <v>9.3000000000000007</v>
      </c>
      <c r="G13" s="20">
        <v>-3</v>
      </c>
      <c r="H13" s="20">
        <v>11.9</v>
      </c>
      <c r="I13" s="20">
        <v>15.6</v>
      </c>
      <c r="J13" s="20">
        <v>9.4</v>
      </c>
      <c r="K13" s="20">
        <v>1.3</v>
      </c>
    </row>
    <row r="14" spans="1:14" s="2" customFormat="1">
      <c r="A14" s="37" t="s">
        <v>113</v>
      </c>
      <c r="B14" s="16">
        <v>13198.6</v>
      </c>
      <c r="C14" s="16">
        <v>14573.3</v>
      </c>
      <c r="D14" s="16">
        <v>15552.2</v>
      </c>
      <c r="E14" s="16">
        <v>17402.900000000001</v>
      </c>
      <c r="F14" s="16">
        <v>19020.5</v>
      </c>
      <c r="G14" s="16">
        <v>18458.900000000001</v>
      </c>
      <c r="H14" s="16">
        <v>20652</v>
      </c>
      <c r="I14" s="16">
        <v>23879.200000000001</v>
      </c>
      <c r="J14" s="16">
        <v>26129.4</v>
      </c>
      <c r="K14" s="16">
        <v>26467.1</v>
      </c>
      <c r="L14" s="199">
        <f>(K14/B14)^(1/9)-1</f>
        <v>8.0377144074677442E-2</v>
      </c>
    </row>
    <row r="15" spans="1:14">
      <c r="A15" s="19" t="s">
        <v>109</v>
      </c>
      <c r="B15" s="20">
        <v>14.8</v>
      </c>
      <c r="C15" s="20">
        <v>10.4</v>
      </c>
      <c r="D15" s="20">
        <v>6.7</v>
      </c>
      <c r="E15" s="20">
        <v>11.9</v>
      </c>
      <c r="F15" s="20">
        <v>9.3000000000000007</v>
      </c>
      <c r="G15" s="20">
        <v>-3</v>
      </c>
      <c r="H15" s="20">
        <v>11.9</v>
      </c>
      <c r="I15" s="20">
        <v>15.6</v>
      </c>
      <c r="J15" s="20">
        <v>9.4</v>
      </c>
      <c r="K15" s="20">
        <v>1.3</v>
      </c>
      <c r="L15">
        <f>AVERAGE(B15:K15)</f>
        <v>8.8300000000000018</v>
      </c>
    </row>
    <row r="16" spans="1:14">
      <c r="A16" s="11" t="s">
        <v>114</v>
      </c>
      <c r="B16" s="16">
        <v>5964.1</v>
      </c>
      <c r="C16" s="16">
        <v>6742.6</v>
      </c>
      <c r="D16" s="16">
        <v>6834.6</v>
      </c>
      <c r="E16" s="16">
        <v>7316.6</v>
      </c>
      <c r="F16" s="16">
        <v>7488.1</v>
      </c>
      <c r="G16" s="16">
        <v>5059.1000000000004</v>
      </c>
      <c r="H16" s="16">
        <v>8408.6</v>
      </c>
      <c r="I16" s="16">
        <v>8371.1</v>
      </c>
      <c r="J16" s="16">
        <v>9846.2000000000007</v>
      </c>
      <c r="K16" s="16">
        <v>9709.1</v>
      </c>
    </row>
    <row r="17" spans="1:13">
      <c r="A17" s="19" t="s">
        <v>109</v>
      </c>
      <c r="B17" s="20">
        <v>20.5</v>
      </c>
      <c r="C17" s="20">
        <v>13.1</v>
      </c>
      <c r="D17" s="20">
        <v>1.4</v>
      </c>
      <c r="E17" s="20">
        <v>7.1</v>
      </c>
      <c r="F17" s="20">
        <v>2.2999999999999998</v>
      </c>
      <c r="G17" s="20">
        <v>-32.4</v>
      </c>
      <c r="H17" s="20">
        <v>66.2</v>
      </c>
      <c r="I17" s="20">
        <v>-0.4</v>
      </c>
      <c r="J17" s="20">
        <v>17.600000000000001</v>
      </c>
      <c r="K17" s="20">
        <v>-1.4</v>
      </c>
    </row>
    <row r="18" spans="1:13" s="2" customFormat="1">
      <c r="A18" s="37" t="s">
        <v>115</v>
      </c>
      <c r="B18" s="12">
        <v>0</v>
      </c>
      <c r="C18" s="12">
        <v>318.2</v>
      </c>
      <c r="D18" s="12">
        <v>391.4</v>
      </c>
      <c r="E18" s="12">
        <v>301.2</v>
      </c>
      <c r="F18" s="12">
        <v>298</v>
      </c>
      <c r="G18" s="12">
        <v>322.5</v>
      </c>
      <c r="H18" s="12">
        <v>385.3</v>
      </c>
      <c r="I18" s="12">
        <v>234.1</v>
      </c>
      <c r="J18" s="12">
        <v>298.39999999999998</v>
      </c>
      <c r="K18" s="12">
        <v>301.2</v>
      </c>
    </row>
    <row r="19" spans="1:13">
      <c r="A19" s="19" t="s">
        <v>109</v>
      </c>
      <c r="B19" s="20" t="s">
        <v>37</v>
      </c>
      <c r="C19" s="20" t="s">
        <v>37</v>
      </c>
      <c r="D19" s="20">
        <v>23</v>
      </c>
      <c r="E19" s="20">
        <v>-23</v>
      </c>
      <c r="F19" s="20">
        <v>-1.1000000000000001</v>
      </c>
      <c r="G19" s="20">
        <v>8.1999999999999993</v>
      </c>
      <c r="H19" s="20">
        <v>19.5</v>
      </c>
      <c r="I19" s="20">
        <v>-39.200000000000003</v>
      </c>
      <c r="J19" s="20">
        <v>27.5</v>
      </c>
      <c r="K19" s="20">
        <v>0.9</v>
      </c>
      <c r="L19" s="40"/>
      <c r="M19" s="1"/>
    </row>
    <row r="20" spans="1:13" s="2" customFormat="1">
      <c r="A20" s="37" t="s">
        <v>116</v>
      </c>
      <c r="B20" s="16">
        <v>2308.5</v>
      </c>
      <c r="C20" s="16">
        <v>2888.9</v>
      </c>
      <c r="D20" s="16">
        <v>2874.8</v>
      </c>
      <c r="E20" s="16">
        <v>3122.8</v>
      </c>
      <c r="F20" s="16">
        <v>3215.6</v>
      </c>
      <c r="G20" s="16">
        <v>3248.4</v>
      </c>
      <c r="H20" s="16">
        <v>3576</v>
      </c>
      <c r="I20" s="16">
        <v>3750.2</v>
      </c>
      <c r="J20" s="16">
        <v>4343.2</v>
      </c>
      <c r="K20" s="16">
        <v>4480</v>
      </c>
    </row>
    <row r="21" spans="1:13">
      <c r="A21" s="19" t="s">
        <v>109</v>
      </c>
      <c r="B21" s="20">
        <v>22.1</v>
      </c>
      <c r="C21" s="20">
        <v>25.1</v>
      </c>
      <c r="D21" s="20">
        <v>-0.5</v>
      </c>
      <c r="E21" s="20">
        <v>8.6</v>
      </c>
      <c r="F21" s="20">
        <v>3</v>
      </c>
      <c r="G21" s="20">
        <v>1</v>
      </c>
      <c r="H21" s="20">
        <v>10.1</v>
      </c>
      <c r="I21" s="20">
        <v>4.9000000000000004</v>
      </c>
      <c r="J21" s="20">
        <v>15.8</v>
      </c>
      <c r="K21" s="20">
        <v>3.1</v>
      </c>
      <c r="M21" s="1"/>
    </row>
    <row r="22" spans="1:13">
      <c r="A22" s="13" t="s">
        <v>117</v>
      </c>
      <c r="B22" s="15">
        <v>1424.6</v>
      </c>
      <c r="C22" s="15">
        <v>1657.5</v>
      </c>
      <c r="D22" s="15">
        <v>1691</v>
      </c>
      <c r="E22" s="15">
        <v>1968.5</v>
      </c>
      <c r="F22" s="15">
        <v>2029</v>
      </c>
      <c r="G22" s="15">
        <v>1922.2</v>
      </c>
      <c r="H22" s="15">
        <v>2215.5</v>
      </c>
      <c r="I22" s="15">
        <v>2448.6999999999998</v>
      </c>
      <c r="J22" s="15">
        <v>2949.1</v>
      </c>
      <c r="K22" s="15">
        <v>2523.3000000000002</v>
      </c>
    </row>
    <row r="23" spans="1:13">
      <c r="A23" s="19" t="s">
        <v>109</v>
      </c>
      <c r="B23" s="20">
        <v>19.7</v>
      </c>
      <c r="C23" s="20">
        <v>16.3</v>
      </c>
      <c r="D23" s="20">
        <v>2</v>
      </c>
      <c r="E23" s="20">
        <v>16.399999999999999</v>
      </c>
      <c r="F23" s="20">
        <v>3.1</v>
      </c>
      <c r="G23" s="20">
        <v>-5.3</v>
      </c>
      <c r="H23" s="20">
        <v>15.3</v>
      </c>
      <c r="I23" s="20">
        <v>10.5</v>
      </c>
      <c r="J23" s="20">
        <v>20.399999999999999</v>
      </c>
      <c r="K23" s="20">
        <v>-14.4</v>
      </c>
    </row>
    <row r="24" spans="1:13">
      <c r="A24" s="19" t="s">
        <v>118</v>
      </c>
      <c r="B24" s="20">
        <v>227.9</v>
      </c>
      <c r="C24" s="20">
        <v>248.6</v>
      </c>
      <c r="D24" s="20">
        <v>282.60000000000002</v>
      </c>
      <c r="E24" s="20">
        <v>260.3</v>
      </c>
      <c r="F24" s="20">
        <v>245.7</v>
      </c>
      <c r="G24" s="20">
        <v>258.8</v>
      </c>
      <c r="H24" s="20">
        <v>305.10000000000002</v>
      </c>
      <c r="I24" s="20">
        <v>416.7</v>
      </c>
      <c r="J24" s="20">
        <v>507.8</v>
      </c>
      <c r="K24" s="20" t="s">
        <v>37</v>
      </c>
    </row>
    <row r="25" spans="1:13">
      <c r="A25" s="19" t="s">
        <v>109</v>
      </c>
      <c r="B25" s="20">
        <v>14.6</v>
      </c>
      <c r="C25" s="20">
        <v>9.1</v>
      </c>
      <c r="D25" s="20">
        <v>13.7</v>
      </c>
      <c r="E25" s="20">
        <v>-7.9</v>
      </c>
      <c r="F25" s="20">
        <v>-5.6</v>
      </c>
      <c r="G25" s="20">
        <v>5.3</v>
      </c>
      <c r="H25" s="20">
        <v>17.899999999999999</v>
      </c>
      <c r="I25" s="20">
        <v>36.6</v>
      </c>
      <c r="J25" s="20">
        <v>21.9</v>
      </c>
      <c r="K25" s="20" t="s">
        <v>37</v>
      </c>
    </row>
    <row r="26" spans="1:13">
      <c r="A26" s="19" t="s">
        <v>119</v>
      </c>
      <c r="B26" s="21">
        <v>1196.7</v>
      </c>
      <c r="C26" s="21">
        <v>1408.9</v>
      </c>
      <c r="D26" s="21">
        <v>1408.4</v>
      </c>
      <c r="E26" s="21">
        <v>1708.2</v>
      </c>
      <c r="F26" s="21">
        <v>1783.3</v>
      </c>
      <c r="G26" s="21">
        <v>1663.4</v>
      </c>
      <c r="H26" s="21">
        <v>1910.4</v>
      </c>
      <c r="I26" s="21">
        <v>2032</v>
      </c>
      <c r="J26" s="21">
        <v>2441.3000000000002</v>
      </c>
      <c r="K26" s="21">
        <v>2523.3000000000002</v>
      </c>
    </row>
    <row r="27" spans="1:13">
      <c r="A27" s="19" t="s">
        <v>109</v>
      </c>
      <c r="B27" s="20">
        <v>20.7</v>
      </c>
      <c r="C27" s="20">
        <v>17.7</v>
      </c>
      <c r="D27" s="20">
        <v>0</v>
      </c>
      <c r="E27" s="20">
        <v>21.3</v>
      </c>
      <c r="F27" s="20">
        <v>4.4000000000000004</v>
      </c>
      <c r="G27" s="20">
        <v>-6.7</v>
      </c>
      <c r="H27" s="20">
        <v>14.8</v>
      </c>
      <c r="I27" s="20">
        <v>6.4</v>
      </c>
      <c r="J27" s="20">
        <v>20.100000000000001</v>
      </c>
      <c r="K27" s="20">
        <v>3.4</v>
      </c>
    </row>
    <row r="28" spans="1:13">
      <c r="A28" s="13" t="s">
        <v>120</v>
      </c>
      <c r="B28" s="14">
        <v>0</v>
      </c>
      <c r="C28" s="14">
        <v>0</v>
      </c>
      <c r="D28" s="14">
        <v>0</v>
      </c>
      <c r="E28" s="14">
        <v>0</v>
      </c>
      <c r="F28" s="14" t="s">
        <v>37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</row>
    <row r="29" spans="1:13">
      <c r="A29" s="13" t="s">
        <v>121</v>
      </c>
      <c r="B29" s="14">
        <v>893.9</v>
      </c>
      <c r="C29" s="14">
        <v>980.8</v>
      </c>
      <c r="D29" s="15">
        <v>1011.4</v>
      </c>
      <c r="E29" s="15">
        <v>1247</v>
      </c>
      <c r="F29" s="15">
        <v>1377.3</v>
      </c>
      <c r="G29" s="15">
        <v>1431.3</v>
      </c>
      <c r="H29" s="15">
        <v>1441.7</v>
      </c>
      <c r="I29" s="15">
        <v>1447.9</v>
      </c>
      <c r="J29" s="15">
        <v>1362.6</v>
      </c>
      <c r="K29" s="15">
        <v>1512.6</v>
      </c>
    </row>
    <row r="30" spans="1:13">
      <c r="A30" s="19" t="s">
        <v>109</v>
      </c>
      <c r="B30" s="20">
        <v>26</v>
      </c>
      <c r="C30" s="20">
        <v>9.6999999999999993</v>
      </c>
      <c r="D30" s="20">
        <v>3.1</v>
      </c>
      <c r="E30" s="20">
        <v>23.3</v>
      </c>
      <c r="F30" s="20">
        <v>10.4</v>
      </c>
      <c r="G30" s="20">
        <v>3.9</v>
      </c>
      <c r="H30" s="20">
        <v>0.7</v>
      </c>
      <c r="I30" s="20">
        <v>0.4</v>
      </c>
      <c r="J30" s="20">
        <v>-5.9</v>
      </c>
      <c r="K30" s="20">
        <v>11</v>
      </c>
    </row>
    <row r="31" spans="1:13">
      <c r="A31" s="13" t="s">
        <v>122</v>
      </c>
      <c r="B31" s="14">
        <v>-10</v>
      </c>
      <c r="C31" s="14">
        <v>250.6</v>
      </c>
      <c r="D31" s="14">
        <v>172.4</v>
      </c>
      <c r="E31" s="14">
        <v>-92.7</v>
      </c>
      <c r="F31" s="14">
        <v>-190.7</v>
      </c>
      <c r="G31" s="14">
        <v>-105.1</v>
      </c>
      <c r="H31" s="14">
        <v>-81.2</v>
      </c>
      <c r="I31" s="14">
        <v>-146.4</v>
      </c>
      <c r="J31" s="14">
        <v>31.5</v>
      </c>
      <c r="K31" s="14">
        <v>444.1</v>
      </c>
    </row>
    <row r="32" spans="1:13">
      <c r="A32" s="19" t="s">
        <v>109</v>
      </c>
      <c r="B32" s="20">
        <v>-1</v>
      </c>
      <c r="C32" s="20" t="s">
        <v>37</v>
      </c>
      <c r="D32" s="20">
        <v>-31.2</v>
      </c>
      <c r="E32" s="20" t="s">
        <v>37</v>
      </c>
      <c r="F32" s="20">
        <v>-105.7</v>
      </c>
      <c r="G32" s="20">
        <v>44.9</v>
      </c>
      <c r="H32" s="20">
        <v>22.7</v>
      </c>
      <c r="I32" s="20">
        <v>-80.3</v>
      </c>
      <c r="J32" s="20" t="s">
        <v>37</v>
      </c>
      <c r="K32" s="21">
        <v>1309.8</v>
      </c>
    </row>
    <row r="33" spans="1:11">
      <c r="A33" s="11" t="s">
        <v>123</v>
      </c>
      <c r="B33" s="16">
        <v>3655.6</v>
      </c>
      <c r="C33" s="16">
        <v>4171.8999999999996</v>
      </c>
      <c r="D33" s="16">
        <v>4351.2</v>
      </c>
      <c r="E33" s="16">
        <v>4495</v>
      </c>
      <c r="F33" s="16">
        <v>4570.5</v>
      </c>
      <c r="G33" s="16">
        <v>2133.1999999999998</v>
      </c>
      <c r="H33" s="16">
        <v>5217.8999999999996</v>
      </c>
      <c r="I33" s="16">
        <v>4855</v>
      </c>
      <c r="J33" s="16">
        <v>5801.4</v>
      </c>
      <c r="K33" s="16">
        <v>5530.3</v>
      </c>
    </row>
    <row r="34" spans="1:11">
      <c r="A34" s="19" t="s">
        <v>109</v>
      </c>
      <c r="B34" s="20">
        <v>19.399999999999999</v>
      </c>
      <c r="C34" s="20">
        <v>14.1</v>
      </c>
      <c r="D34" s="20">
        <v>4.3</v>
      </c>
      <c r="E34" s="20">
        <v>3.3</v>
      </c>
      <c r="F34" s="20">
        <v>1.7</v>
      </c>
      <c r="G34" s="20">
        <v>-53.3</v>
      </c>
      <c r="H34" s="20">
        <v>144.6</v>
      </c>
      <c r="I34" s="20">
        <v>-7</v>
      </c>
      <c r="J34" s="20">
        <v>19.5</v>
      </c>
      <c r="K34" s="20">
        <v>-4.7</v>
      </c>
    </row>
    <row r="35" spans="1:11">
      <c r="A35" s="13" t="s">
        <v>124</v>
      </c>
      <c r="B35" s="14">
        <v>27.5</v>
      </c>
      <c r="C35" s="14">
        <v>-21.3</v>
      </c>
      <c r="D35" s="14">
        <v>-89.3</v>
      </c>
      <c r="E35" s="14">
        <v>-21.1</v>
      </c>
      <c r="F35" s="14">
        <v>234.5</v>
      </c>
      <c r="G35" s="14">
        <v>397.3</v>
      </c>
      <c r="H35" s="14">
        <v>379.7</v>
      </c>
      <c r="I35" s="14">
        <v>385.9</v>
      </c>
      <c r="J35" s="14">
        <v>468.9</v>
      </c>
      <c r="K35" s="14">
        <v>439.2</v>
      </c>
    </row>
    <row r="36" spans="1:11">
      <c r="A36" s="19" t="s">
        <v>109</v>
      </c>
      <c r="B36" s="20" t="s">
        <v>37</v>
      </c>
      <c r="C36" s="20" t="s">
        <v>37</v>
      </c>
      <c r="D36" s="20">
        <v>-319.2</v>
      </c>
      <c r="E36" s="20">
        <v>76.400000000000006</v>
      </c>
      <c r="F36" s="20" t="s">
        <v>37</v>
      </c>
      <c r="G36" s="20">
        <v>69.400000000000006</v>
      </c>
      <c r="H36" s="20">
        <v>-4.4000000000000004</v>
      </c>
      <c r="I36" s="20">
        <v>1.6</v>
      </c>
      <c r="J36" s="20">
        <v>21.5</v>
      </c>
      <c r="K36" s="20">
        <v>-6.3</v>
      </c>
    </row>
    <row r="37" spans="1:11">
      <c r="A37" s="13" t="s">
        <v>125</v>
      </c>
      <c r="B37" s="14" t="s">
        <v>37</v>
      </c>
      <c r="C37" s="14" t="s">
        <v>37</v>
      </c>
      <c r="D37" s="14" t="s">
        <v>37</v>
      </c>
      <c r="E37" s="14" t="s">
        <v>37</v>
      </c>
      <c r="F37" s="14" t="s">
        <v>37</v>
      </c>
      <c r="G37" s="14" t="s">
        <v>37</v>
      </c>
      <c r="H37" s="14" t="s">
        <v>37</v>
      </c>
      <c r="I37" s="14">
        <v>482.9</v>
      </c>
      <c r="J37" s="14">
        <v>550.1</v>
      </c>
      <c r="K37" s="14">
        <v>562</v>
      </c>
    </row>
    <row r="38" spans="1:11">
      <c r="A38" s="19" t="s">
        <v>109</v>
      </c>
      <c r="B38" s="20" t="s">
        <v>37</v>
      </c>
      <c r="C38" s="20" t="s">
        <v>37</v>
      </c>
      <c r="D38" s="20" t="s">
        <v>37</v>
      </c>
      <c r="E38" s="20" t="s">
        <v>37</v>
      </c>
      <c r="F38" s="20" t="s">
        <v>37</v>
      </c>
      <c r="G38" s="20" t="s">
        <v>37</v>
      </c>
      <c r="H38" s="20" t="s">
        <v>37</v>
      </c>
      <c r="I38" s="20" t="s">
        <v>37</v>
      </c>
      <c r="J38" s="20">
        <v>13.9</v>
      </c>
      <c r="K38" s="20">
        <v>2.2000000000000002</v>
      </c>
    </row>
    <row r="39" spans="1:11">
      <c r="A39" s="19" t="s">
        <v>126</v>
      </c>
      <c r="B39" s="20">
        <v>70.5</v>
      </c>
      <c r="C39" s="20">
        <v>81.3</v>
      </c>
      <c r="D39" s="20">
        <v>92.5</v>
      </c>
      <c r="E39" s="20">
        <v>170.3</v>
      </c>
      <c r="F39" s="20">
        <v>331</v>
      </c>
      <c r="G39" s="20">
        <v>437</v>
      </c>
      <c r="H39" s="20">
        <v>469.8</v>
      </c>
      <c r="I39" s="20">
        <v>482.9</v>
      </c>
      <c r="J39" s="20">
        <v>550.1</v>
      </c>
      <c r="K39" s="20">
        <v>562</v>
      </c>
    </row>
    <row r="40" spans="1:11">
      <c r="A40" s="19" t="s">
        <v>109</v>
      </c>
      <c r="B40" s="20">
        <v>10</v>
      </c>
      <c r="C40" s="20">
        <v>15.3</v>
      </c>
      <c r="D40" s="20">
        <v>13.8</v>
      </c>
      <c r="E40" s="20">
        <v>84.1</v>
      </c>
      <c r="F40" s="20">
        <v>94.4</v>
      </c>
      <c r="G40" s="20">
        <v>32</v>
      </c>
      <c r="H40" s="20">
        <v>7.5</v>
      </c>
      <c r="I40" s="20">
        <v>2.8</v>
      </c>
      <c r="J40" s="20">
        <v>13.9</v>
      </c>
      <c r="K40" s="20">
        <v>2.2000000000000002</v>
      </c>
    </row>
    <row r="41" spans="1:11">
      <c r="A41" s="19" t="s">
        <v>127</v>
      </c>
      <c r="B41" s="20" t="s">
        <v>37</v>
      </c>
      <c r="C41" s="20" t="s">
        <v>37</v>
      </c>
      <c r="D41" s="20" t="s">
        <v>37</v>
      </c>
      <c r="E41" s="20" t="s">
        <v>37</v>
      </c>
      <c r="F41" s="20" t="s">
        <v>37</v>
      </c>
      <c r="G41" s="20" t="s">
        <v>37</v>
      </c>
      <c r="H41" s="20" t="s">
        <v>37</v>
      </c>
      <c r="I41" s="20">
        <v>0</v>
      </c>
      <c r="J41" s="20">
        <v>0</v>
      </c>
      <c r="K41" s="20">
        <v>0</v>
      </c>
    </row>
    <row r="42" spans="1:11">
      <c r="A42" s="13" t="s">
        <v>128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</row>
    <row r="43" spans="1:11">
      <c r="A43" s="13" t="s">
        <v>129</v>
      </c>
      <c r="B43" s="14">
        <v>-43</v>
      </c>
      <c r="C43" s="14">
        <v>-102.6</v>
      </c>
      <c r="D43" s="14">
        <v>-181.8</v>
      </c>
      <c r="E43" s="14">
        <v>-191.4</v>
      </c>
      <c r="F43" s="14">
        <v>-96.5</v>
      </c>
      <c r="G43" s="14">
        <v>-39.700000000000003</v>
      </c>
      <c r="H43" s="14">
        <v>-90.1</v>
      </c>
      <c r="I43" s="14">
        <v>-97</v>
      </c>
      <c r="J43" s="14">
        <v>-81.2</v>
      </c>
      <c r="K43" s="14">
        <v>-122.8</v>
      </c>
    </row>
    <row r="44" spans="1:11">
      <c r="A44" s="19" t="s">
        <v>109</v>
      </c>
      <c r="B44" s="20">
        <v>40.700000000000003</v>
      </c>
      <c r="C44" s="20">
        <v>-138.6</v>
      </c>
      <c r="D44" s="20">
        <v>-77.2</v>
      </c>
      <c r="E44" s="20">
        <v>-5.3</v>
      </c>
      <c r="F44" s="20">
        <v>49.6</v>
      </c>
      <c r="G44" s="20">
        <v>58.9</v>
      </c>
      <c r="H44" s="20">
        <v>-127</v>
      </c>
      <c r="I44" s="20">
        <v>-7.7</v>
      </c>
      <c r="J44" s="20">
        <v>16.3</v>
      </c>
      <c r="K44" s="20">
        <v>-51.2</v>
      </c>
    </row>
    <row r="45" spans="1:11">
      <c r="A45" s="11" t="s">
        <v>130</v>
      </c>
      <c r="B45" s="16">
        <v>3628.1</v>
      </c>
      <c r="C45" s="16">
        <v>4193.2</v>
      </c>
      <c r="D45" s="16">
        <v>4440.5</v>
      </c>
      <c r="E45" s="16">
        <v>4516.1000000000004</v>
      </c>
      <c r="F45" s="16">
        <v>4336</v>
      </c>
      <c r="G45" s="16">
        <v>1735.9</v>
      </c>
      <c r="H45" s="16">
        <v>4838.2</v>
      </c>
      <c r="I45" s="16">
        <v>4469.1000000000004</v>
      </c>
      <c r="J45" s="16">
        <v>5332.5</v>
      </c>
      <c r="K45" s="16">
        <v>5091.1000000000004</v>
      </c>
    </row>
    <row r="46" spans="1:11">
      <c r="A46" s="19" t="s">
        <v>109</v>
      </c>
      <c r="B46" s="20">
        <v>18.2</v>
      </c>
      <c r="C46" s="20">
        <v>15.6</v>
      </c>
      <c r="D46" s="20">
        <v>5.9</v>
      </c>
      <c r="E46" s="20">
        <v>1.7</v>
      </c>
      <c r="F46" s="20">
        <v>-4</v>
      </c>
      <c r="G46" s="20">
        <v>-60</v>
      </c>
      <c r="H46" s="20">
        <v>178.7</v>
      </c>
      <c r="I46" s="20">
        <v>-7.6</v>
      </c>
      <c r="J46" s="20">
        <v>19.3</v>
      </c>
      <c r="K46" s="20">
        <v>-4.5</v>
      </c>
    </row>
    <row r="47" spans="1:11">
      <c r="A47" s="13" t="s">
        <v>131</v>
      </c>
      <c r="B47" s="14">
        <v>-274.89999999999998</v>
      </c>
      <c r="C47" s="14">
        <v>-5.4</v>
      </c>
      <c r="D47" s="14">
        <v>123</v>
      </c>
      <c r="E47" s="15">
        <v>-1263.9000000000001</v>
      </c>
      <c r="F47" s="14">
        <v>-130.19999999999999</v>
      </c>
      <c r="G47" s="14">
        <v>571.5</v>
      </c>
      <c r="H47" s="14">
        <v>-518.70000000000005</v>
      </c>
      <c r="I47" s="14">
        <v>237.2</v>
      </c>
      <c r="J47" s="14">
        <v>-69.400000000000006</v>
      </c>
      <c r="K47" s="14">
        <v>121.5</v>
      </c>
    </row>
    <row r="48" spans="1:11">
      <c r="A48" s="19" t="s">
        <v>109</v>
      </c>
      <c r="B48" s="20">
        <v>-204.1</v>
      </c>
      <c r="C48" s="20">
        <v>98</v>
      </c>
      <c r="D48" s="20" t="s">
        <v>37</v>
      </c>
      <c r="E48" s="20" t="s">
        <v>37</v>
      </c>
      <c r="F48" s="20">
        <v>89.7</v>
      </c>
      <c r="G48" s="20" t="s">
        <v>37</v>
      </c>
      <c r="H48" s="20" t="s">
        <v>37</v>
      </c>
      <c r="I48" s="20" t="s">
        <v>37</v>
      </c>
      <c r="J48" s="20" t="s">
        <v>37</v>
      </c>
      <c r="K48" s="20" t="s">
        <v>37</v>
      </c>
    </row>
    <row r="49" spans="1:11">
      <c r="A49" s="13" t="s">
        <v>132</v>
      </c>
      <c r="B49" s="14">
        <v>-336</v>
      </c>
      <c r="C49" s="14" t="s">
        <v>37</v>
      </c>
      <c r="D49" s="14">
        <v>61.6</v>
      </c>
      <c r="E49" s="14">
        <v>285.5</v>
      </c>
      <c r="F49" s="14">
        <v>274.60000000000002</v>
      </c>
      <c r="G49" s="14">
        <v>290.89999999999998</v>
      </c>
      <c r="H49" s="14">
        <v>175.4</v>
      </c>
      <c r="I49" s="14">
        <v>191.2</v>
      </c>
      <c r="J49" s="14">
        <v>0.1</v>
      </c>
      <c r="K49" s="14" t="s">
        <v>37</v>
      </c>
    </row>
    <row r="50" spans="1:11">
      <c r="A50" s="19" t="s">
        <v>109</v>
      </c>
      <c r="B50" s="20" t="s">
        <v>37</v>
      </c>
      <c r="C50" s="20" t="s">
        <v>37</v>
      </c>
      <c r="D50" s="20" t="s">
        <v>37</v>
      </c>
      <c r="E50" s="20">
        <v>363.5</v>
      </c>
      <c r="F50" s="20">
        <v>-3.8</v>
      </c>
      <c r="G50" s="20">
        <v>5.9</v>
      </c>
      <c r="H50" s="20">
        <v>-39.700000000000003</v>
      </c>
      <c r="I50" s="20">
        <v>9</v>
      </c>
      <c r="J50" s="20">
        <v>-99.9</v>
      </c>
      <c r="K50" s="20" t="s">
        <v>37</v>
      </c>
    </row>
    <row r="51" spans="1:11">
      <c r="A51" s="13" t="s">
        <v>133</v>
      </c>
      <c r="B51" s="14" t="s">
        <v>37</v>
      </c>
      <c r="C51" s="14" t="s">
        <v>37</v>
      </c>
      <c r="D51" s="14" t="s">
        <v>37</v>
      </c>
      <c r="E51" s="14" t="s">
        <v>37</v>
      </c>
      <c r="F51" s="14" t="s">
        <v>37</v>
      </c>
      <c r="G51" s="14" t="s">
        <v>37</v>
      </c>
      <c r="H51" s="14" t="s">
        <v>37</v>
      </c>
      <c r="I51" s="14" t="s">
        <v>37</v>
      </c>
      <c r="J51" s="14">
        <v>-91.3</v>
      </c>
      <c r="K51" s="14" t="s">
        <v>37</v>
      </c>
    </row>
    <row r="52" spans="1:11">
      <c r="A52" s="13" t="s">
        <v>134</v>
      </c>
      <c r="B52" s="14">
        <v>61.1</v>
      </c>
      <c r="C52" s="14" t="s">
        <v>37</v>
      </c>
      <c r="D52" s="14" t="s">
        <v>37</v>
      </c>
      <c r="E52" s="14" t="s">
        <v>37</v>
      </c>
      <c r="F52" s="14" t="s">
        <v>37</v>
      </c>
      <c r="G52" s="14" t="s">
        <v>37</v>
      </c>
      <c r="H52" s="14" t="s">
        <v>37</v>
      </c>
      <c r="I52" s="14" t="s">
        <v>37</v>
      </c>
      <c r="J52" s="14" t="s">
        <v>37</v>
      </c>
      <c r="K52" s="14" t="s">
        <v>37</v>
      </c>
    </row>
    <row r="53" spans="1:11">
      <c r="A53" s="13" t="s">
        <v>135</v>
      </c>
      <c r="B53" s="14" t="s">
        <v>37</v>
      </c>
      <c r="C53" s="14" t="s">
        <v>37</v>
      </c>
      <c r="D53" s="14" t="s">
        <v>37</v>
      </c>
      <c r="E53" s="14" t="s">
        <v>37</v>
      </c>
      <c r="F53" s="14" t="s">
        <v>37</v>
      </c>
      <c r="G53" s="14" t="s">
        <v>37</v>
      </c>
      <c r="H53" s="14" t="s">
        <v>37</v>
      </c>
      <c r="I53" s="14" t="s">
        <v>37</v>
      </c>
      <c r="J53" s="14" t="s">
        <v>37</v>
      </c>
      <c r="K53" s="14" t="s">
        <v>37</v>
      </c>
    </row>
    <row r="54" spans="1:11">
      <c r="A54" s="19" t="s">
        <v>109</v>
      </c>
      <c r="B54" s="20" t="s">
        <v>37</v>
      </c>
      <c r="C54" s="20" t="s">
        <v>37</v>
      </c>
      <c r="D54" s="20" t="s">
        <v>37</v>
      </c>
      <c r="E54" s="20" t="s">
        <v>37</v>
      </c>
      <c r="F54" s="20" t="s">
        <v>37</v>
      </c>
      <c r="G54" s="20" t="s">
        <v>37</v>
      </c>
      <c r="H54" s="20" t="s">
        <v>37</v>
      </c>
      <c r="I54" s="20" t="s">
        <v>37</v>
      </c>
      <c r="J54" s="20" t="s">
        <v>37</v>
      </c>
      <c r="K54" s="20" t="s">
        <v>37</v>
      </c>
    </row>
    <row r="55" spans="1:11">
      <c r="A55" s="13" t="s">
        <v>136</v>
      </c>
      <c r="B55" s="14" t="s">
        <v>37</v>
      </c>
      <c r="C55" s="14" t="s">
        <v>37</v>
      </c>
      <c r="D55" s="14">
        <v>87.2</v>
      </c>
      <c r="E55" s="14">
        <v>37.6</v>
      </c>
      <c r="F55" s="14">
        <v>10.5</v>
      </c>
      <c r="G55" s="14" t="s">
        <v>37</v>
      </c>
      <c r="H55" s="14" t="s">
        <v>37</v>
      </c>
      <c r="I55" s="14" t="s">
        <v>37</v>
      </c>
      <c r="J55" s="14" t="s">
        <v>37</v>
      </c>
      <c r="K55" s="14" t="s">
        <v>37</v>
      </c>
    </row>
    <row r="56" spans="1:11">
      <c r="A56" s="19" t="s">
        <v>109</v>
      </c>
      <c r="B56" s="20" t="s">
        <v>37</v>
      </c>
      <c r="C56" s="20" t="s">
        <v>37</v>
      </c>
      <c r="D56" s="20" t="s">
        <v>37</v>
      </c>
      <c r="E56" s="20">
        <v>-56.9</v>
      </c>
      <c r="F56" s="20">
        <v>-72.099999999999994</v>
      </c>
      <c r="G56" s="20" t="s">
        <v>37</v>
      </c>
      <c r="H56" s="20" t="s">
        <v>37</v>
      </c>
      <c r="I56" s="20" t="s">
        <v>37</v>
      </c>
      <c r="J56" s="20" t="s">
        <v>37</v>
      </c>
      <c r="K56" s="20" t="s">
        <v>37</v>
      </c>
    </row>
    <row r="57" spans="1:11">
      <c r="A57" s="13" t="s">
        <v>137</v>
      </c>
      <c r="B57" s="14" t="s">
        <v>37</v>
      </c>
      <c r="C57" s="14">
        <v>-5.4</v>
      </c>
      <c r="D57" s="14">
        <v>-92.1</v>
      </c>
      <c r="E57" s="15">
        <v>-1871.8</v>
      </c>
      <c r="F57" s="14">
        <v>-622.79999999999995</v>
      </c>
      <c r="G57" s="14" t="s">
        <v>37</v>
      </c>
      <c r="H57" s="14">
        <v>-864.5</v>
      </c>
      <c r="I57" s="14" t="s">
        <v>37</v>
      </c>
      <c r="J57" s="14" t="s">
        <v>37</v>
      </c>
      <c r="K57" s="14" t="s">
        <v>37</v>
      </c>
    </row>
    <row r="58" spans="1:11">
      <c r="A58" s="19" t="s">
        <v>109</v>
      </c>
      <c r="B58" s="20" t="s">
        <v>37</v>
      </c>
      <c r="C58" s="20" t="s">
        <v>37</v>
      </c>
      <c r="D58" s="21">
        <v>-1605.6</v>
      </c>
      <c r="E58" s="21">
        <v>-1932.4</v>
      </c>
      <c r="F58" s="20">
        <v>66.7</v>
      </c>
      <c r="G58" s="20" t="s">
        <v>37</v>
      </c>
      <c r="H58" s="20" t="s">
        <v>37</v>
      </c>
      <c r="I58" s="20" t="s">
        <v>37</v>
      </c>
      <c r="J58" s="20" t="s">
        <v>37</v>
      </c>
      <c r="K58" s="20" t="s">
        <v>37</v>
      </c>
    </row>
    <row r="59" spans="1:11">
      <c r="A59" s="13" t="s">
        <v>138</v>
      </c>
      <c r="B59" s="14" t="s">
        <v>37</v>
      </c>
      <c r="C59" s="14" t="s">
        <v>37</v>
      </c>
      <c r="D59" s="14" t="s">
        <v>37</v>
      </c>
      <c r="E59" s="14" t="s">
        <v>37</v>
      </c>
      <c r="F59" s="14" t="s">
        <v>37</v>
      </c>
      <c r="G59" s="14" t="s">
        <v>37</v>
      </c>
      <c r="H59" s="14" t="s">
        <v>37</v>
      </c>
      <c r="I59" s="14" t="s">
        <v>37</v>
      </c>
      <c r="J59" s="14" t="s">
        <v>37</v>
      </c>
      <c r="K59" s="14" t="s">
        <v>37</v>
      </c>
    </row>
    <row r="60" spans="1:11">
      <c r="A60" s="13" t="s">
        <v>139</v>
      </c>
      <c r="B60" s="14" t="s">
        <v>37</v>
      </c>
      <c r="C60" s="14" t="s">
        <v>37</v>
      </c>
      <c r="D60" s="14">
        <v>6</v>
      </c>
      <c r="E60" s="14">
        <v>239</v>
      </c>
      <c r="F60" s="14">
        <v>146.19999999999999</v>
      </c>
      <c r="G60" s="14">
        <v>280.60000000000002</v>
      </c>
      <c r="H60" s="14">
        <v>170.4</v>
      </c>
      <c r="I60" s="14" t="s">
        <v>37</v>
      </c>
      <c r="J60" s="14" t="s">
        <v>37</v>
      </c>
      <c r="K60" s="14" t="s">
        <v>37</v>
      </c>
    </row>
    <row r="61" spans="1:11">
      <c r="A61" s="19" t="s">
        <v>109</v>
      </c>
      <c r="B61" s="20" t="s">
        <v>37</v>
      </c>
      <c r="C61" s="20" t="s">
        <v>37</v>
      </c>
      <c r="D61" s="20" t="s">
        <v>37</v>
      </c>
      <c r="E61" s="21">
        <v>3883.3</v>
      </c>
      <c r="F61" s="20">
        <v>-38.799999999999997</v>
      </c>
      <c r="G61" s="20">
        <v>91.9</v>
      </c>
      <c r="H61" s="20">
        <v>-39.299999999999997</v>
      </c>
      <c r="I61" s="20" t="s">
        <v>37</v>
      </c>
      <c r="J61" s="20" t="s">
        <v>37</v>
      </c>
      <c r="K61" s="20" t="s">
        <v>37</v>
      </c>
    </row>
    <row r="62" spans="1:11">
      <c r="A62" s="13" t="s">
        <v>140</v>
      </c>
      <c r="B62" s="14" t="s">
        <v>37</v>
      </c>
      <c r="C62" s="14" t="s">
        <v>37</v>
      </c>
      <c r="D62" s="14" t="s">
        <v>37</v>
      </c>
      <c r="E62" s="14" t="s">
        <v>37</v>
      </c>
      <c r="F62" s="14" t="s">
        <v>37</v>
      </c>
      <c r="G62" s="14" t="s">
        <v>37</v>
      </c>
      <c r="H62" s="14" t="s">
        <v>37</v>
      </c>
      <c r="I62" s="14" t="s">
        <v>37</v>
      </c>
      <c r="J62" s="14" t="s">
        <v>37</v>
      </c>
      <c r="K62" s="14" t="s">
        <v>37</v>
      </c>
    </row>
    <row r="63" spans="1:11">
      <c r="A63" s="13" t="s">
        <v>141</v>
      </c>
      <c r="B63" s="14" t="s">
        <v>37</v>
      </c>
      <c r="C63" s="14" t="s">
        <v>37</v>
      </c>
      <c r="D63" s="14">
        <v>60.3</v>
      </c>
      <c r="E63" s="14">
        <v>45.8</v>
      </c>
      <c r="F63" s="14">
        <v>61.3</v>
      </c>
      <c r="G63" s="14" t="s">
        <v>37</v>
      </c>
      <c r="H63" s="14" t="s">
        <v>37</v>
      </c>
      <c r="I63" s="14">
        <v>46</v>
      </c>
      <c r="J63" s="14">
        <v>21.8</v>
      </c>
      <c r="K63" s="14">
        <v>121.5</v>
      </c>
    </row>
    <row r="64" spans="1:11">
      <c r="A64" s="19" t="s">
        <v>109</v>
      </c>
      <c r="B64" s="20" t="s">
        <v>37</v>
      </c>
      <c r="C64" s="20" t="s">
        <v>37</v>
      </c>
      <c r="D64" s="20" t="s">
        <v>37</v>
      </c>
      <c r="E64" s="20">
        <v>-24</v>
      </c>
      <c r="F64" s="20">
        <v>33.799999999999997</v>
      </c>
      <c r="G64" s="20" t="s">
        <v>37</v>
      </c>
      <c r="H64" s="20" t="s">
        <v>37</v>
      </c>
      <c r="I64" s="20" t="s">
        <v>37</v>
      </c>
      <c r="J64" s="20">
        <v>-52.6</v>
      </c>
      <c r="K64" s="20">
        <v>457.3</v>
      </c>
    </row>
    <row r="65" spans="1:11">
      <c r="A65" s="11" t="s">
        <v>142</v>
      </c>
      <c r="B65" s="16">
        <v>3903</v>
      </c>
      <c r="C65" s="16">
        <v>4198.6000000000004</v>
      </c>
      <c r="D65" s="16">
        <v>4317.5</v>
      </c>
      <c r="E65" s="16">
        <v>5780</v>
      </c>
      <c r="F65" s="16">
        <v>4466.2</v>
      </c>
      <c r="G65" s="16">
        <v>1164.4000000000001</v>
      </c>
      <c r="H65" s="16">
        <v>5356.9</v>
      </c>
      <c r="I65" s="16">
        <v>4231.8999999999996</v>
      </c>
      <c r="J65" s="16">
        <v>5401.9</v>
      </c>
      <c r="K65" s="16">
        <v>4969.6000000000004</v>
      </c>
    </row>
    <row r="66" spans="1:11">
      <c r="A66" s="19" t="s">
        <v>109</v>
      </c>
      <c r="B66" s="20">
        <v>23.5</v>
      </c>
      <c r="C66" s="20">
        <v>7.6</v>
      </c>
      <c r="D66" s="20">
        <v>2.8</v>
      </c>
      <c r="E66" s="20">
        <v>33.9</v>
      </c>
      <c r="F66" s="20">
        <v>-22.7</v>
      </c>
      <c r="G66" s="20">
        <v>-73.900000000000006</v>
      </c>
      <c r="H66" s="20">
        <v>360.1</v>
      </c>
      <c r="I66" s="20">
        <v>-21</v>
      </c>
      <c r="J66" s="20">
        <v>27.6</v>
      </c>
      <c r="K66" s="20">
        <v>-8</v>
      </c>
    </row>
    <row r="67" spans="1:11">
      <c r="A67" s="13" t="s">
        <v>143</v>
      </c>
      <c r="B67" s="15">
        <v>1143.7</v>
      </c>
      <c r="C67" s="15">
        <v>1379.7</v>
      </c>
      <c r="D67" s="15">
        <v>1432.6</v>
      </c>
      <c r="E67" s="15">
        <v>1262</v>
      </c>
      <c r="F67" s="14">
        <v>871.6</v>
      </c>
      <c r="G67" s="14">
        <v>239.7</v>
      </c>
      <c r="H67" s="15">
        <v>1156.5999999999999</v>
      </c>
      <c r="I67" s="14">
        <v>948.5</v>
      </c>
      <c r="J67" s="15">
        <v>1277.2</v>
      </c>
      <c r="K67" s="15">
        <v>1207.3</v>
      </c>
    </row>
    <row r="68" spans="1:11">
      <c r="A68" s="19" t="s">
        <v>109</v>
      </c>
      <c r="B68" s="20">
        <v>4.7</v>
      </c>
      <c r="C68" s="20">
        <v>20.6</v>
      </c>
      <c r="D68" s="20">
        <v>3.8</v>
      </c>
      <c r="E68" s="20">
        <v>-11.9</v>
      </c>
      <c r="F68" s="20">
        <v>-30.9</v>
      </c>
      <c r="G68" s="20">
        <v>-72.5</v>
      </c>
      <c r="H68" s="20">
        <v>382.5</v>
      </c>
      <c r="I68" s="20">
        <v>-18</v>
      </c>
      <c r="J68" s="20">
        <v>34.700000000000003</v>
      </c>
      <c r="K68" s="20">
        <v>-5.5</v>
      </c>
    </row>
    <row r="69" spans="1:11">
      <c r="A69" s="13" t="s">
        <v>144</v>
      </c>
      <c r="B69" s="15">
        <v>1123.3</v>
      </c>
      <c r="C69" s="15">
        <v>1089.0999999999999</v>
      </c>
      <c r="D69" s="15">
        <v>1318.4</v>
      </c>
      <c r="E69" s="14">
        <v>535.20000000000005</v>
      </c>
      <c r="F69" s="15">
        <v>2320.4</v>
      </c>
      <c r="G69" s="14">
        <v>268.2</v>
      </c>
      <c r="H69" s="15">
        <v>1281.5999999999999</v>
      </c>
      <c r="I69" s="14">
        <v>925.4</v>
      </c>
      <c r="J69" s="15">
        <v>1336.5</v>
      </c>
      <c r="K69" s="15">
        <v>1220.9000000000001</v>
      </c>
    </row>
    <row r="70" spans="1:11">
      <c r="A70" s="19" t="s">
        <v>109</v>
      </c>
      <c r="B70" s="20">
        <v>3.6</v>
      </c>
      <c r="C70" s="20">
        <v>-3</v>
      </c>
      <c r="D70" s="20">
        <v>21.1</v>
      </c>
      <c r="E70" s="20">
        <v>-59.4</v>
      </c>
      <c r="F70" s="20">
        <v>333.6</v>
      </c>
      <c r="G70" s="20">
        <v>-88.4</v>
      </c>
      <c r="H70" s="20">
        <v>377.9</v>
      </c>
      <c r="I70" s="20">
        <v>-27.8</v>
      </c>
      <c r="J70" s="20">
        <v>44.4</v>
      </c>
      <c r="K70" s="20">
        <v>-8.6</v>
      </c>
    </row>
    <row r="71" spans="1:11">
      <c r="A71" s="13" t="s">
        <v>145</v>
      </c>
      <c r="B71" s="14">
        <v>20.399999999999999</v>
      </c>
      <c r="C71" s="14">
        <v>290.60000000000002</v>
      </c>
      <c r="D71" s="14">
        <v>114.2</v>
      </c>
      <c r="E71" s="14">
        <v>726.8</v>
      </c>
      <c r="F71" s="15">
        <v>-1448.8</v>
      </c>
      <c r="G71" s="14">
        <v>-28.5</v>
      </c>
      <c r="H71" s="14">
        <v>-125</v>
      </c>
      <c r="I71" s="14">
        <v>23.1</v>
      </c>
      <c r="J71" s="14">
        <v>-59.3</v>
      </c>
      <c r="K71" s="14">
        <v>-13.6</v>
      </c>
    </row>
    <row r="72" spans="1:11">
      <c r="A72" s="19" t="s">
        <v>109</v>
      </c>
      <c r="B72" s="20">
        <v>168.4</v>
      </c>
      <c r="C72" s="21">
        <v>1324.5</v>
      </c>
      <c r="D72" s="20">
        <v>-60.7</v>
      </c>
      <c r="E72" s="20">
        <v>536.4</v>
      </c>
      <c r="F72" s="20" t="s">
        <v>37</v>
      </c>
      <c r="G72" s="20">
        <v>98</v>
      </c>
      <c r="H72" s="20">
        <v>-338.6</v>
      </c>
      <c r="I72" s="20" t="s">
        <v>37</v>
      </c>
      <c r="J72" s="20" t="s">
        <v>37</v>
      </c>
      <c r="K72" s="20">
        <v>77.099999999999994</v>
      </c>
    </row>
    <row r="73" spans="1:11">
      <c r="A73" s="11" t="s">
        <v>146</v>
      </c>
      <c r="B73" s="16">
        <v>2759.3</v>
      </c>
      <c r="C73" s="16">
        <v>2818.9</v>
      </c>
      <c r="D73" s="16">
        <v>2884.9</v>
      </c>
      <c r="E73" s="16">
        <v>4518</v>
      </c>
      <c r="F73" s="16">
        <v>3594.6</v>
      </c>
      <c r="G73" s="12">
        <v>924.7</v>
      </c>
      <c r="H73" s="16">
        <v>4200.3</v>
      </c>
      <c r="I73" s="16">
        <v>3283.4</v>
      </c>
      <c r="J73" s="16">
        <v>4124.7</v>
      </c>
      <c r="K73" s="16">
        <v>3762.3</v>
      </c>
    </row>
    <row r="74" spans="1:11">
      <c r="A74" s="19" t="s">
        <v>109</v>
      </c>
      <c r="B74" s="20">
        <v>33.4</v>
      </c>
      <c r="C74" s="20">
        <v>2.2000000000000002</v>
      </c>
      <c r="D74" s="20">
        <v>2.2999999999999998</v>
      </c>
      <c r="E74" s="20">
        <v>56.6</v>
      </c>
      <c r="F74" s="20">
        <v>-20.399999999999999</v>
      </c>
      <c r="G74" s="20">
        <v>-74.3</v>
      </c>
      <c r="H74" s="20">
        <v>354.2</v>
      </c>
      <c r="I74" s="20">
        <v>-21.8</v>
      </c>
      <c r="J74" s="20">
        <v>25.6</v>
      </c>
      <c r="K74" s="20">
        <v>-8.8000000000000007</v>
      </c>
    </row>
    <row r="75" spans="1:11">
      <c r="A75" s="13" t="s">
        <v>147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</row>
    <row r="76" spans="1:11">
      <c r="A76" s="13" t="s">
        <v>148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</row>
    <row r="77" spans="1:11">
      <c r="A77" s="13" t="s">
        <v>149</v>
      </c>
      <c r="B77" s="14"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</row>
    <row r="78" spans="1:11">
      <c r="A78" s="11" t="s">
        <v>150</v>
      </c>
      <c r="B78" s="16">
        <v>2759.3</v>
      </c>
      <c r="C78" s="16">
        <v>2818.9</v>
      </c>
      <c r="D78" s="16">
        <v>2884.9</v>
      </c>
      <c r="E78" s="16">
        <v>4518</v>
      </c>
      <c r="F78" s="16">
        <v>3594.6</v>
      </c>
      <c r="G78" s="12">
        <v>924.7</v>
      </c>
      <c r="H78" s="16">
        <v>4200.3</v>
      </c>
      <c r="I78" s="16">
        <v>3283.4</v>
      </c>
      <c r="J78" s="16">
        <v>4124.7</v>
      </c>
      <c r="K78" s="16">
        <v>3762.3</v>
      </c>
    </row>
    <row r="79" spans="1:11">
      <c r="A79" s="19" t="s">
        <v>109</v>
      </c>
      <c r="B79" s="20">
        <v>33.4</v>
      </c>
      <c r="C79" s="20">
        <v>2.2000000000000002</v>
      </c>
      <c r="D79" s="20">
        <v>2.2999999999999998</v>
      </c>
      <c r="E79" s="20">
        <v>56.6</v>
      </c>
      <c r="F79" s="20">
        <v>-20.399999999999999</v>
      </c>
      <c r="G79" s="20">
        <v>-74.3</v>
      </c>
      <c r="H79" s="20">
        <v>354.2</v>
      </c>
      <c r="I79" s="20">
        <v>-21.8</v>
      </c>
      <c r="J79" s="20">
        <v>25.6</v>
      </c>
      <c r="K79" s="20">
        <v>-8.8000000000000007</v>
      </c>
    </row>
    <row r="80" spans="1:11">
      <c r="A80" s="13" t="s">
        <v>151</v>
      </c>
      <c r="B80" s="14">
        <v>1.9</v>
      </c>
      <c r="C80" s="14">
        <v>1.2</v>
      </c>
      <c r="D80" s="14">
        <v>0.2</v>
      </c>
      <c r="E80" s="14">
        <v>-0.3</v>
      </c>
      <c r="F80" s="14">
        <v>-4.5999999999999996</v>
      </c>
      <c r="G80" s="14">
        <v>-3.6</v>
      </c>
      <c r="H80" s="14">
        <v>1</v>
      </c>
      <c r="I80" s="14">
        <v>1.8</v>
      </c>
      <c r="J80" s="14">
        <v>0.2</v>
      </c>
      <c r="K80" s="14">
        <v>1.4</v>
      </c>
    </row>
    <row r="81" spans="1:11">
      <c r="A81" s="19" t="s">
        <v>109</v>
      </c>
      <c r="B81" s="20" t="s">
        <v>37</v>
      </c>
      <c r="C81" s="20">
        <v>-36.799999999999997</v>
      </c>
      <c r="D81" s="20">
        <v>-83.3</v>
      </c>
      <c r="E81" s="20" t="s">
        <v>37</v>
      </c>
      <c r="F81" s="21">
        <v>-1433.3</v>
      </c>
      <c r="G81" s="20">
        <v>21.7</v>
      </c>
      <c r="H81" s="20" t="s">
        <v>37</v>
      </c>
      <c r="I81" s="20">
        <v>80</v>
      </c>
      <c r="J81" s="20">
        <v>-88.9</v>
      </c>
      <c r="K81" s="20">
        <v>600</v>
      </c>
    </row>
    <row r="82" spans="1:11">
      <c r="A82" s="11" t="s">
        <v>152</v>
      </c>
      <c r="B82" s="16">
        <v>2757.4</v>
      </c>
      <c r="C82" s="16">
        <v>2817.7</v>
      </c>
      <c r="D82" s="16">
        <v>2884.7</v>
      </c>
      <c r="E82" s="16">
        <v>4518.3</v>
      </c>
      <c r="F82" s="16">
        <v>3599.2</v>
      </c>
      <c r="G82" s="12">
        <v>928.3</v>
      </c>
      <c r="H82" s="16">
        <v>4199.3</v>
      </c>
      <c r="I82" s="16">
        <v>3281.6</v>
      </c>
      <c r="J82" s="16">
        <v>4124.5</v>
      </c>
      <c r="K82" s="16">
        <v>3760.9</v>
      </c>
    </row>
    <row r="83" spans="1:11">
      <c r="A83" s="19" t="s">
        <v>109</v>
      </c>
      <c r="B83" s="20">
        <v>33.299999999999997</v>
      </c>
      <c r="C83" s="20">
        <v>2.2000000000000002</v>
      </c>
      <c r="D83" s="20">
        <v>2.4</v>
      </c>
      <c r="E83" s="20">
        <v>56.6</v>
      </c>
      <c r="F83" s="20">
        <v>-20.3</v>
      </c>
      <c r="G83" s="20">
        <v>-74.2</v>
      </c>
      <c r="H83" s="20">
        <v>352.4</v>
      </c>
      <c r="I83" s="20">
        <v>-21.9</v>
      </c>
      <c r="J83" s="20">
        <v>25.7</v>
      </c>
      <c r="K83" s="20">
        <v>-8.8000000000000007</v>
      </c>
    </row>
    <row r="84" spans="1:11">
      <c r="A84" s="13" t="s">
        <v>153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</row>
    <row r="85" spans="1:11">
      <c r="A85" s="13" t="s">
        <v>154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</row>
    <row r="86" spans="1:11">
      <c r="A86" s="11" t="s">
        <v>155</v>
      </c>
      <c r="B86" s="16">
        <v>2757.4</v>
      </c>
      <c r="C86" s="16">
        <v>2817.7</v>
      </c>
      <c r="D86" s="16">
        <v>2884.7</v>
      </c>
      <c r="E86" s="16">
        <v>4518.3</v>
      </c>
      <c r="F86" s="16">
        <v>3599.2</v>
      </c>
      <c r="G86" s="12">
        <v>928.3</v>
      </c>
      <c r="H86" s="16">
        <v>4199.3</v>
      </c>
      <c r="I86" s="16">
        <v>3281.6</v>
      </c>
      <c r="J86" s="16">
        <v>4124.5</v>
      </c>
      <c r="K86" s="16">
        <v>3760.9</v>
      </c>
    </row>
    <row r="87" spans="1:11">
      <c r="A87" s="19" t="s">
        <v>109</v>
      </c>
      <c r="B87" s="20">
        <v>33.299999999999997</v>
      </c>
      <c r="C87" s="20">
        <v>2.2000000000000002</v>
      </c>
      <c r="D87" s="20">
        <v>2.4</v>
      </c>
      <c r="E87" s="20">
        <v>56.6</v>
      </c>
      <c r="F87" s="20">
        <v>-20.3</v>
      </c>
      <c r="G87" s="20">
        <v>-74.2</v>
      </c>
      <c r="H87" s="20">
        <v>352.4</v>
      </c>
      <c r="I87" s="20">
        <v>-21.9</v>
      </c>
      <c r="J87" s="20">
        <v>25.7</v>
      </c>
      <c r="K87" s="20">
        <v>-8.8000000000000007</v>
      </c>
    </row>
    <row r="88" spans="1:11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 spans="1:11">
      <c r="A89" s="11" t="s">
        <v>156</v>
      </c>
      <c r="B89" s="16">
        <v>2578.6999999999998</v>
      </c>
      <c r="C89" s="16">
        <v>2814.2</v>
      </c>
      <c r="D89" s="16">
        <v>2995.2</v>
      </c>
      <c r="E89" s="16">
        <v>3754.6</v>
      </c>
      <c r="F89" s="16">
        <v>3498.5</v>
      </c>
      <c r="G89" s="16">
        <v>1379.8</v>
      </c>
      <c r="H89" s="16">
        <v>3789.5</v>
      </c>
      <c r="I89" s="16">
        <v>3469</v>
      </c>
      <c r="J89" s="16">
        <v>4069.7</v>
      </c>
      <c r="K89" s="16">
        <v>3856.9</v>
      </c>
    </row>
    <row r="90" spans="1:11">
      <c r="A90" s="19" t="s">
        <v>109</v>
      </c>
      <c r="B90" s="20">
        <v>29.9</v>
      </c>
      <c r="C90" s="20">
        <v>9.1</v>
      </c>
      <c r="D90" s="20">
        <v>6.4</v>
      </c>
      <c r="E90" s="20">
        <v>25.4</v>
      </c>
      <c r="F90" s="20">
        <v>-6.8</v>
      </c>
      <c r="G90" s="20">
        <v>-60.6</v>
      </c>
      <c r="H90" s="20">
        <v>174.6</v>
      </c>
      <c r="I90" s="20">
        <v>-8.5</v>
      </c>
      <c r="J90" s="20">
        <v>17.3</v>
      </c>
      <c r="K90" s="20">
        <v>-5.2</v>
      </c>
    </row>
    <row r="91" spans="1:11">
      <c r="A91" s="13" t="s">
        <v>157</v>
      </c>
      <c r="B91" s="14">
        <v>-178.7</v>
      </c>
      <c r="C91" s="14">
        <v>-3.5</v>
      </c>
      <c r="D91" s="14">
        <v>110.5</v>
      </c>
      <c r="E91" s="14">
        <v>-763.7</v>
      </c>
      <c r="F91" s="14">
        <v>-100.7</v>
      </c>
      <c r="G91" s="14">
        <v>451.5</v>
      </c>
      <c r="H91" s="14">
        <v>-409.8</v>
      </c>
      <c r="I91" s="14">
        <v>187.4</v>
      </c>
      <c r="J91" s="14">
        <v>-54.8</v>
      </c>
      <c r="K91" s="14">
        <v>96</v>
      </c>
    </row>
    <row r="92" spans="1:11">
      <c r="A92" s="19" t="s">
        <v>109</v>
      </c>
      <c r="B92" s="20">
        <v>-117.3</v>
      </c>
      <c r="C92" s="20">
        <v>98</v>
      </c>
      <c r="D92" s="20" t="s">
        <v>37</v>
      </c>
      <c r="E92" s="20" t="s">
        <v>37</v>
      </c>
      <c r="F92" s="20">
        <v>86.8</v>
      </c>
      <c r="G92" s="20" t="s">
        <v>37</v>
      </c>
      <c r="H92" s="20" t="s">
        <v>37</v>
      </c>
      <c r="I92" s="20" t="s">
        <v>37</v>
      </c>
      <c r="J92" s="20" t="s">
        <v>37</v>
      </c>
      <c r="K92" s="20" t="s">
        <v>37</v>
      </c>
    </row>
    <row r="93" spans="1:11">
      <c r="A93" s="13" t="s">
        <v>158</v>
      </c>
      <c r="B93" s="14">
        <v>0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</row>
    <row r="94" spans="1:11">
      <c r="A94" s="11"/>
      <c r="B94" s="12"/>
      <c r="C94" s="12"/>
      <c r="D94" s="12"/>
      <c r="E94" s="12"/>
      <c r="F94" s="12"/>
      <c r="G94" s="12"/>
      <c r="H94" s="12"/>
      <c r="I94" s="12"/>
      <c r="J94" s="12"/>
      <c r="K94" s="12"/>
    </row>
    <row r="95" spans="1:11">
      <c r="A95" s="13" t="s">
        <v>159</v>
      </c>
      <c r="B95" s="15">
        <v>1495.9</v>
      </c>
      <c r="C95" s="15">
        <v>1471.6</v>
      </c>
      <c r="D95" s="15">
        <v>1449.5</v>
      </c>
      <c r="E95" s="15">
        <v>1382.7</v>
      </c>
      <c r="F95" s="15">
        <v>1221.2</v>
      </c>
      <c r="G95" s="15">
        <v>1172.8</v>
      </c>
      <c r="H95" s="15">
        <v>1177.5999999999999</v>
      </c>
      <c r="I95" s="15">
        <v>1153.3</v>
      </c>
      <c r="J95" s="15">
        <v>1146.8</v>
      </c>
      <c r="K95" s="15">
        <v>1133.8</v>
      </c>
    </row>
    <row r="96" spans="1:11">
      <c r="A96" s="19" t="s">
        <v>109</v>
      </c>
      <c r="B96" s="20">
        <v>-0.7</v>
      </c>
      <c r="C96" s="20">
        <v>-1.6</v>
      </c>
      <c r="D96" s="20">
        <v>-1.5</v>
      </c>
      <c r="E96" s="20">
        <v>-4.5999999999999996</v>
      </c>
      <c r="F96" s="20">
        <v>-11.7</v>
      </c>
      <c r="G96" s="20">
        <v>-4</v>
      </c>
      <c r="H96" s="20">
        <v>0.4</v>
      </c>
      <c r="I96" s="20">
        <v>-2.1</v>
      </c>
      <c r="J96" s="20">
        <v>-0.6</v>
      </c>
      <c r="K96" s="20">
        <v>-1.1000000000000001</v>
      </c>
    </row>
    <row r="97" spans="1:11">
      <c r="A97" s="11" t="s">
        <v>160</v>
      </c>
      <c r="B97" s="12">
        <v>1.84</v>
      </c>
      <c r="C97" s="12">
        <v>1.91</v>
      </c>
      <c r="D97" s="12">
        <v>1.99</v>
      </c>
      <c r="E97" s="12">
        <v>3.27</v>
      </c>
      <c r="F97" s="12">
        <v>2.95</v>
      </c>
      <c r="G97" s="12">
        <v>0.79</v>
      </c>
      <c r="H97" s="12">
        <v>3.57</v>
      </c>
      <c r="I97" s="12">
        <v>2.85</v>
      </c>
      <c r="J97" s="12">
        <v>3.6</v>
      </c>
      <c r="K97" s="12">
        <v>3.32</v>
      </c>
    </row>
    <row r="98" spans="1:11">
      <c r="A98" s="19" t="s">
        <v>109</v>
      </c>
      <c r="B98" s="20">
        <v>34.299999999999997</v>
      </c>
      <c r="C98" s="20">
        <v>3.8</v>
      </c>
      <c r="D98" s="20">
        <v>4.2</v>
      </c>
      <c r="E98" s="20">
        <v>64.3</v>
      </c>
      <c r="F98" s="20">
        <v>-9.8000000000000007</v>
      </c>
      <c r="G98" s="20">
        <v>-73.2</v>
      </c>
      <c r="H98" s="20">
        <v>351.9</v>
      </c>
      <c r="I98" s="20">
        <v>-20.2</v>
      </c>
      <c r="J98" s="20">
        <v>26.3</v>
      </c>
      <c r="K98" s="20">
        <v>-7.8</v>
      </c>
    </row>
    <row r="99" spans="1:11">
      <c r="A99" s="11" t="s">
        <v>161</v>
      </c>
      <c r="B99" s="12">
        <v>1.84</v>
      </c>
      <c r="C99" s="12">
        <v>1.91</v>
      </c>
      <c r="D99" s="12">
        <v>1.99</v>
      </c>
      <c r="E99" s="12">
        <v>3.27</v>
      </c>
      <c r="F99" s="12">
        <v>2.95</v>
      </c>
      <c r="G99" s="12">
        <v>0.79</v>
      </c>
      <c r="H99" s="12">
        <v>3.57</v>
      </c>
      <c r="I99" s="12">
        <v>2.85</v>
      </c>
      <c r="J99" s="12">
        <v>3.6</v>
      </c>
      <c r="K99" s="12">
        <v>3.32</v>
      </c>
    </row>
    <row r="100" spans="1:11">
      <c r="A100" s="19" t="s">
        <v>109</v>
      </c>
      <c r="B100" s="20">
        <v>34.299999999999997</v>
      </c>
      <c r="C100" s="20">
        <v>3.8</v>
      </c>
      <c r="D100" s="20">
        <v>4.2</v>
      </c>
      <c r="E100" s="20">
        <v>64.3</v>
      </c>
      <c r="F100" s="20">
        <v>-9.8000000000000007</v>
      </c>
      <c r="G100" s="20">
        <v>-73.2</v>
      </c>
      <c r="H100" s="20">
        <v>351.9</v>
      </c>
      <c r="I100" s="20">
        <v>-20.2</v>
      </c>
      <c r="J100" s="20">
        <v>26.3</v>
      </c>
      <c r="K100" s="20">
        <v>-7.8</v>
      </c>
    </row>
    <row r="101" spans="1:11">
      <c r="A101" s="11" t="s">
        <v>162</v>
      </c>
      <c r="B101" s="12">
        <v>1.72</v>
      </c>
      <c r="C101" s="12">
        <v>1.91</v>
      </c>
      <c r="D101" s="12">
        <v>2.0699999999999998</v>
      </c>
      <c r="E101" s="12">
        <v>2.72</v>
      </c>
      <c r="F101" s="12">
        <v>2.86</v>
      </c>
      <c r="G101" s="12">
        <v>1.18</v>
      </c>
      <c r="H101" s="12">
        <v>3.22</v>
      </c>
      <c r="I101" s="12">
        <v>3.01</v>
      </c>
      <c r="J101" s="12">
        <v>3.55</v>
      </c>
      <c r="K101" s="12">
        <v>3.4</v>
      </c>
    </row>
    <row r="102" spans="1:11">
      <c r="A102" s="19" t="s">
        <v>109</v>
      </c>
      <c r="B102" s="20">
        <v>30.8</v>
      </c>
      <c r="C102" s="20">
        <v>10.9</v>
      </c>
      <c r="D102" s="20">
        <v>8.1</v>
      </c>
      <c r="E102" s="20">
        <v>31.4</v>
      </c>
      <c r="F102" s="20">
        <v>5.5</v>
      </c>
      <c r="G102" s="20">
        <v>-58.9</v>
      </c>
      <c r="H102" s="20">
        <v>173.5</v>
      </c>
      <c r="I102" s="20">
        <v>-6.5</v>
      </c>
      <c r="J102" s="20">
        <v>18</v>
      </c>
      <c r="K102" s="20">
        <v>-4.0999999999999996</v>
      </c>
    </row>
    <row r="103" spans="1:11">
      <c r="A103" s="11"/>
      <c r="B103" s="12"/>
      <c r="C103" s="12"/>
      <c r="D103" s="12"/>
      <c r="E103" s="12"/>
      <c r="F103" s="12"/>
      <c r="G103" s="12"/>
      <c r="H103" s="12"/>
      <c r="I103" s="12"/>
      <c r="J103" s="12"/>
      <c r="K103" s="12"/>
    </row>
    <row r="104" spans="1:11">
      <c r="A104" s="13" t="s">
        <v>163</v>
      </c>
      <c r="B104" s="15">
        <v>1513.4</v>
      </c>
      <c r="C104" s="15">
        <v>1486.7</v>
      </c>
      <c r="D104" s="15">
        <v>1461.5</v>
      </c>
      <c r="E104" s="15">
        <v>1394.6</v>
      </c>
      <c r="F104" s="15">
        <v>1233.2</v>
      </c>
      <c r="G104" s="15">
        <v>1181.8</v>
      </c>
      <c r="H104" s="15">
        <v>1185.5</v>
      </c>
      <c r="I104" s="15">
        <v>1158.5</v>
      </c>
      <c r="J104" s="15">
        <v>1151.3</v>
      </c>
      <c r="K104" s="15">
        <v>1137.3</v>
      </c>
    </row>
    <row r="105" spans="1:11">
      <c r="A105" s="19" t="s">
        <v>109</v>
      </c>
      <c r="B105" s="20">
        <v>-0.8</v>
      </c>
      <c r="C105" s="20">
        <v>-1.8</v>
      </c>
      <c r="D105" s="20">
        <v>-1.7</v>
      </c>
      <c r="E105" s="20">
        <v>-4.5999999999999996</v>
      </c>
      <c r="F105" s="20">
        <v>-11.6</v>
      </c>
      <c r="G105" s="20">
        <v>-4.2</v>
      </c>
      <c r="H105" s="20">
        <v>0.3</v>
      </c>
      <c r="I105" s="20">
        <v>-2.2999999999999998</v>
      </c>
      <c r="J105" s="20">
        <v>-0.6</v>
      </c>
      <c r="K105" s="20">
        <v>-1.2</v>
      </c>
    </row>
    <row r="106" spans="1:11">
      <c r="A106" s="11" t="s">
        <v>164</v>
      </c>
      <c r="B106" s="12">
        <v>1.82</v>
      </c>
      <c r="C106" s="12">
        <v>1.9</v>
      </c>
      <c r="D106" s="12">
        <v>1.97</v>
      </c>
      <c r="E106" s="12">
        <v>3.24</v>
      </c>
      <c r="F106" s="12">
        <v>2.92</v>
      </c>
      <c r="G106" s="12">
        <v>0.79</v>
      </c>
      <c r="H106" s="12">
        <v>3.54</v>
      </c>
      <c r="I106" s="12">
        <v>2.83</v>
      </c>
      <c r="J106" s="12">
        <v>3.58</v>
      </c>
      <c r="K106" s="12">
        <v>3.31</v>
      </c>
    </row>
    <row r="107" spans="1:11">
      <c r="A107" s="19" t="s">
        <v>109</v>
      </c>
      <c r="B107" s="20">
        <v>34.799999999999997</v>
      </c>
      <c r="C107" s="20">
        <v>4.4000000000000004</v>
      </c>
      <c r="D107" s="20">
        <v>3.7</v>
      </c>
      <c r="E107" s="20">
        <v>64.5</v>
      </c>
      <c r="F107" s="20">
        <v>-9.9</v>
      </c>
      <c r="G107" s="20">
        <v>-72.900000000000006</v>
      </c>
      <c r="H107" s="20">
        <v>348.1</v>
      </c>
      <c r="I107" s="20">
        <v>-20.100000000000001</v>
      </c>
      <c r="J107" s="20">
        <v>26.5</v>
      </c>
      <c r="K107" s="20">
        <v>-7.5</v>
      </c>
    </row>
    <row r="108" spans="1:11">
      <c r="A108" s="11" t="s">
        <v>165</v>
      </c>
      <c r="B108" s="12">
        <v>1.82</v>
      </c>
      <c r="C108" s="12">
        <v>1.9</v>
      </c>
      <c r="D108" s="12">
        <v>1.97</v>
      </c>
      <c r="E108" s="12">
        <v>3.24</v>
      </c>
      <c r="F108" s="12">
        <v>2.92</v>
      </c>
      <c r="G108" s="12">
        <v>0.79</v>
      </c>
      <c r="H108" s="12">
        <v>3.54</v>
      </c>
      <c r="I108" s="12">
        <v>2.83</v>
      </c>
      <c r="J108" s="12">
        <v>3.58</v>
      </c>
      <c r="K108" s="12">
        <v>3.31</v>
      </c>
    </row>
    <row r="109" spans="1:11">
      <c r="A109" s="19" t="s">
        <v>109</v>
      </c>
      <c r="B109" s="20">
        <v>34.799999999999997</v>
      </c>
      <c r="C109" s="20">
        <v>4.4000000000000004</v>
      </c>
      <c r="D109" s="20">
        <v>3.7</v>
      </c>
      <c r="E109" s="20">
        <v>64.5</v>
      </c>
      <c r="F109" s="20">
        <v>-9.9</v>
      </c>
      <c r="G109" s="20">
        <v>-72.900000000000006</v>
      </c>
      <c r="H109" s="20">
        <v>348.1</v>
      </c>
      <c r="I109" s="20">
        <v>-20.100000000000001</v>
      </c>
      <c r="J109" s="20">
        <v>26.5</v>
      </c>
      <c r="K109" s="20">
        <v>-7.5</v>
      </c>
    </row>
    <row r="110" spans="1:11">
      <c r="A110" s="11" t="s">
        <v>166</v>
      </c>
      <c r="B110" s="12">
        <v>1.7</v>
      </c>
      <c r="C110" s="12">
        <v>1.9</v>
      </c>
      <c r="D110" s="12">
        <v>2.0499999999999998</v>
      </c>
      <c r="E110" s="12">
        <v>2.69</v>
      </c>
      <c r="F110" s="12">
        <v>2.84</v>
      </c>
      <c r="G110" s="12">
        <v>1.17</v>
      </c>
      <c r="H110" s="12">
        <v>3.19</v>
      </c>
      <c r="I110" s="12">
        <v>2.99</v>
      </c>
      <c r="J110" s="12">
        <v>3.53</v>
      </c>
      <c r="K110" s="12">
        <v>3.39</v>
      </c>
    </row>
    <row r="111" spans="1:11">
      <c r="A111" s="19" t="s">
        <v>109</v>
      </c>
      <c r="B111" s="20">
        <v>31.3</v>
      </c>
      <c r="C111" s="20">
        <v>11.5</v>
      </c>
      <c r="D111" s="20">
        <v>7.8</v>
      </c>
      <c r="E111" s="20">
        <v>31.6</v>
      </c>
      <c r="F111" s="20">
        <v>5.4</v>
      </c>
      <c r="G111" s="20">
        <v>-58.7</v>
      </c>
      <c r="H111" s="20">
        <v>172.5</v>
      </c>
      <c r="I111" s="20">
        <v>-6.3</v>
      </c>
      <c r="J111" s="20">
        <v>18.100000000000001</v>
      </c>
      <c r="K111" s="20">
        <v>-3.9</v>
      </c>
    </row>
    <row r="112" spans="1:11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2"/>
    </row>
    <row r="113" spans="1:11">
      <c r="A113" s="11" t="s">
        <v>167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</row>
    <row r="114" spans="1:11">
      <c r="A114" s="13" t="s">
        <v>168</v>
      </c>
      <c r="B114" s="14" t="s">
        <v>169</v>
      </c>
      <c r="C114" s="14" t="s">
        <v>169</v>
      </c>
      <c r="D114" s="14" t="s">
        <v>169</v>
      </c>
      <c r="E114" s="14" t="s">
        <v>169</v>
      </c>
      <c r="F114" s="14" t="s">
        <v>169</v>
      </c>
      <c r="G114" s="14" t="s">
        <v>169</v>
      </c>
      <c r="H114" s="14" t="s">
        <v>169</v>
      </c>
      <c r="I114" s="14" t="s">
        <v>169</v>
      </c>
      <c r="J114" s="14" t="s">
        <v>169</v>
      </c>
      <c r="K114" s="14" t="s">
        <v>169</v>
      </c>
    </row>
    <row r="115" spans="1:11">
      <c r="A115" s="13" t="s">
        <v>170</v>
      </c>
      <c r="B115" s="15">
        <v>4589.3999999999996</v>
      </c>
      <c r="C115" s="15">
        <v>5202</v>
      </c>
      <c r="D115" s="15">
        <v>5418.3</v>
      </c>
      <c r="E115" s="15">
        <v>5800.9</v>
      </c>
      <c r="F115" s="15">
        <v>6019.8</v>
      </c>
      <c r="G115" s="15">
        <v>5210</v>
      </c>
      <c r="H115" s="15">
        <v>8321.2000000000007</v>
      </c>
      <c r="I115" s="15">
        <v>7939.2</v>
      </c>
      <c r="J115" s="15">
        <v>8852.7000000000007</v>
      </c>
      <c r="K115" s="15">
        <v>8846.2000000000007</v>
      </c>
    </row>
    <row r="116" spans="1:11">
      <c r="A116" s="19" t="s">
        <v>109</v>
      </c>
      <c r="B116" s="20">
        <v>20.5</v>
      </c>
      <c r="C116" s="20">
        <v>13.3</v>
      </c>
      <c r="D116" s="20">
        <v>4.2</v>
      </c>
      <c r="E116" s="20">
        <v>7.1</v>
      </c>
      <c r="F116" s="20">
        <v>3.8</v>
      </c>
      <c r="G116" s="20">
        <v>-13.5</v>
      </c>
      <c r="H116" s="20">
        <v>59.7</v>
      </c>
      <c r="I116" s="20">
        <v>-4.5999999999999996</v>
      </c>
      <c r="J116" s="20">
        <v>11.5</v>
      </c>
      <c r="K116" s="20">
        <v>-0.1</v>
      </c>
    </row>
    <row r="117" spans="1:11">
      <c r="A117" s="13" t="s">
        <v>171</v>
      </c>
      <c r="B117" s="14">
        <v>23.95</v>
      </c>
      <c r="C117" s="14">
        <v>24.4</v>
      </c>
      <c r="D117" s="14">
        <v>24.2</v>
      </c>
      <c r="E117" s="14">
        <v>23.47</v>
      </c>
      <c r="F117" s="14">
        <v>22.71</v>
      </c>
      <c r="G117" s="14">
        <v>22.15</v>
      </c>
      <c r="H117" s="14">
        <v>28.63</v>
      </c>
      <c r="I117" s="14">
        <v>24.62</v>
      </c>
      <c r="J117" s="14">
        <v>24.61</v>
      </c>
      <c r="K117" s="14">
        <v>24.45</v>
      </c>
    </row>
    <row r="118" spans="1:11">
      <c r="A118" s="19" t="s">
        <v>109</v>
      </c>
      <c r="B118" s="20">
        <v>3.4</v>
      </c>
      <c r="C118" s="20">
        <v>1.9</v>
      </c>
      <c r="D118" s="20">
        <v>-0.8</v>
      </c>
      <c r="E118" s="20">
        <v>-3</v>
      </c>
      <c r="F118" s="20">
        <v>-3.2</v>
      </c>
      <c r="G118" s="20">
        <v>-2.4</v>
      </c>
      <c r="H118" s="20">
        <v>29.3</v>
      </c>
      <c r="I118" s="20">
        <v>-14</v>
      </c>
      <c r="J118" s="20">
        <v>0</v>
      </c>
      <c r="K118" s="20">
        <v>-0.6</v>
      </c>
    </row>
    <row r="119" spans="1:11">
      <c r="A119" s="13" t="s">
        <v>172</v>
      </c>
      <c r="B119" s="15">
        <v>3745.5</v>
      </c>
      <c r="C119" s="15">
        <v>4278.5</v>
      </c>
      <c r="D119" s="15">
        <v>4464.3999999999996</v>
      </c>
      <c r="E119" s="15">
        <v>4740.3999999999996</v>
      </c>
      <c r="F119" s="15">
        <v>4875.3</v>
      </c>
      <c r="G119" s="15">
        <v>4002.4</v>
      </c>
      <c r="H119" s="15">
        <v>7102.9</v>
      </c>
      <c r="I119" s="15">
        <v>6684</v>
      </c>
      <c r="J119" s="15">
        <v>7511.6</v>
      </c>
      <c r="K119" s="15">
        <v>7354</v>
      </c>
    </row>
    <row r="120" spans="1:11">
      <c r="A120" s="19" t="s">
        <v>109</v>
      </c>
      <c r="B120" s="20">
        <v>22</v>
      </c>
      <c r="C120" s="20">
        <v>14.2</v>
      </c>
      <c r="D120" s="20">
        <v>4.3</v>
      </c>
      <c r="E120" s="20">
        <v>6.2</v>
      </c>
      <c r="F120" s="20">
        <v>2.8</v>
      </c>
      <c r="G120" s="20">
        <v>-17.899999999999999</v>
      </c>
      <c r="H120" s="20">
        <v>77.5</v>
      </c>
      <c r="I120" s="20">
        <v>-5.9</v>
      </c>
      <c r="J120" s="20">
        <v>12.4</v>
      </c>
      <c r="K120" s="20">
        <v>-2.1</v>
      </c>
    </row>
    <row r="121" spans="1:11">
      <c r="A121" s="13" t="s">
        <v>6</v>
      </c>
      <c r="B121" s="15">
        <v>3655.6</v>
      </c>
      <c r="C121" s="15">
        <v>4171.8999999999996</v>
      </c>
      <c r="D121" s="15">
        <v>4351.2</v>
      </c>
      <c r="E121" s="15">
        <v>4495</v>
      </c>
      <c r="F121" s="15">
        <v>4570.5</v>
      </c>
      <c r="G121" s="15">
        <v>2133.1999999999998</v>
      </c>
      <c r="H121" s="15">
        <v>5217.8999999999996</v>
      </c>
      <c r="I121" s="15">
        <v>4855</v>
      </c>
      <c r="J121" s="15">
        <v>5801.4</v>
      </c>
      <c r="K121" s="15">
        <v>5530.3</v>
      </c>
    </row>
    <row r="122" spans="1:11">
      <c r="A122" s="19" t="s">
        <v>109</v>
      </c>
      <c r="B122" s="20">
        <v>19.399999999999999</v>
      </c>
      <c r="C122" s="20">
        <v>14.1</v>
      </c>
      <c r="D122" s="20">
        <v>4.3</v>
      </c>
      <c r="E122" s="20">
        <v>3.3</v>
      </c>
      <c r="F122" s="20">
        <v>1.7</v>
      </c>
      <c r="G122" s="20">
        <v>-53.3</v>
      </c>
      <c r="H122" s="20">
        <v>144.6</v>
      </c>
      <c r="I122" s="20">
        <v>-7</v>
      </c>
      <c r="J122" s="20">
        <v>19.5</v>
      </c>
      <c r="K122" s="20">
        <v>-4.7</v>
      </c>
    </row>
    <row r="123" spans="1:11">
      <c r="A123" s="13" t="s">
        <v>173</v>
      </c>
      <c r="B123" s="14">
        <v>31.12</v>
      </c>
      <c r="C123" s="14">
        <v>31.63</v>
      </c>
      <c r="D123" s="14">
        <v>30.53</v>
      </c>
      <c r="E123" s="14">
        <v>29.6</v>
      </c>
      <c r="F123" s="14">
        <v>28.25</v>
      </c>
      <c r="G123" s="14">
        <v>21.51</v>
      </c>
      <c r="H123" s="14">
        <v>28.93</v>
      </c>
      <c r="I123" s="14">
        <v>25.96</v>
      </c>
      <c r="J123" s="14">
        <v>27.37</v>
      </c>
      <c r="K123" s="14">
        <v>26.84</v>
      </c>
    </row>
    <row r="124" spans="1:11">
      <c r="A124" s="19" t="s">
        <v>109</v>
      </c>
      <c r="B124" s="20">
        <v>3.4</v>
      </c>
      <c r="C124" s="20">
        <v>1.6</v>
      </c>
      <c r="D124" s="20">
        <v>-3.5</v>
      </c>
      <c r="E124" s="20">
        <v>-3</v>
      </c>
      <c r="F124" s="20">
        <v>-4.5999999999999996</v>
      </c>
      <c r="G124" s="20">
        <v>-23.8</v>
      </c>
      <c r="H124" s="20">
        <v>34.5</v>
      </c>
      <c r="I124" s="20">
        <v>-10.3</v>
      </c>
      <c r="J124" s="20">
        <v>5.4</v>
      </c>
      <c r="K124" s="20">
        <v>-1.9</v>
      </c>
    </row>
    <row r="125" spans="1:11">
      <c r="A125" s="13" t="s">
        <v>174</v>
      </c>
      <c r="B125" s="14">
        <v>19.079999999999998</v>
      </c>
      <c r="C125" s="14">
        <v>19.57</v>
      </c>
      <c r="D125" s="14">
        <v>19.440000000000001</v>
      </c>
      <c r="E125" s="14">
        <v>18.18</v>
      </c>
      <c r="F125" s="14">
        <v>17.239999999999998</v>
      </c>
      <c r="G125" s="14">
        <v>9.07</v>
      </c>
      <c r="H125" s="14">
        <v>17.96</v>
      </c>
      <c r="I125" s="14">
        <v>15.05</v>
      </c>
      <c r="J125" s="14">
        <v>16.13</v>
      </c>
      <c r="K125" s="14">
        <v>15.29</v>
      </c>
    </row>
    <row r="126" spans="1:11">
      <c r="A126" s="19" t="s">
        <v>109</v>
      </c>
      <c r="B126" s="20">
        <v>2.5</v>
      </c>
      <c r="C126" s="20">
        <v>2.6</v>
      </c>
      <c r="D126" s="20">
        <v>-0.7</v>
      </c>
      <c r="E126" s="20">
        <v>-6.4</v>
      </c>
      <c r="F126" s="20">
        <v>-5.2</v>
      </c>
      <c r="G126" s="20">
        <v>-47.4</v>
      </c>
      <c r="H126" s="20">
        <v>98</v>
      </c>
      <c r="I126" s="20">
        <v>-16.2</v>
      </c>
      <c r="J126" s="20">
        <v>7.1</v>
      </c>
      <c r="K126" s="20">
        <v>-5.2</v>
      </c>
    </row>
    <row r="127" spans="1:11">
      <c r="A127" s="13" t="s">
        <v>175</v>
      </c>
      <c r="B127" s="14">
        <v>13.46</v>
      </c>
      <c r="C127" s="14">
        <v>13.2</v>
      </c>
      <c r="D127" s="14">
        <v>13.38</v>
      </c>
      <c r="E127" s="14">
        <v>15.19</v>
      </c>
      <c r="F127" s="14">
        <v>13.2</v>
      </c>
      <c r="G127" s="14">
        <v>5.87</v>
      </c>
      <c r="H127" s="14">
        <v>13.04</v>
      </c>
      <c r="I127" s="14">
        <v>10.76</v>
      </c>
      <c r="J127" s="14">
        <v>11.31</v>
      </c>
      <c r="K127" s="14">
        <v>10.66</v>
      </c>
    </row>
    <row r="128" spans="1:11">
      <c r="A128" s="19" t="s">
        <v>109</v>
      </c>
      <c r="B128" s="20">
        <v>11.5</v>
      </c>
      <c r="C128" s="20">
        <v>-1.9</v>
      </c>
      <c r="D128" s="20">
        <v>1.3</v>
      </c>
      <c r="E128" s="20">
        <v>13.5</v>
      </c>
      <c r="F128" s="20">
        <v>-13.1</v>
      </c>
      <c r="G128" s="20">
        <v>-55.5</v>
      </c>
      <c r="H128" s="20">
        <v>122.3</v>
      </c>
      <c r="I128" s="20">
        <v>-17.5</v>
      </c>
      <c r="J128" s="20">
        <v>5.2</v>
      </c>
      <c r="K128" s="20">
        <v>-5.8</v>
      </c>
    </row>
    <row r="129" spans="1:11">
      <c r="A129" s="13" t="s">
        <v>176</v>
      </c>
      <c r="B129" s="15">
        <v>80515.55</v>
      </c>
      <c r="C129" s="15">
        <v>83920.87</v>
      </c>
      <c r="D129" s="15">
        <v>80818.77</v>
      </c>
      <c r="E129" s="15">
        <v>84946.74</v>
      </c>
      <c r="F129" s="15">
        <v>76614.45</v>
      </c>
      <c r="G129" s="15">
        <v>67386.820000000007</v>
      </c>
      <c r="H129" s="15">
        <v>75876.240000000005</v>
      </c>
      <c r="I129" s="15">
        <v>80224.63</v>
      </c>
      <c r="J129" s="15">
        <v>94424.15</v>
      </c>
      <c r="K129" s="15">
        <v>100211.08</v>
      </c>
    </row>
    <row r="130" spans="1:11">
      <c r="A130" s="19" t="s">
        <v>109</v>
      </c>
      <c r="B130" s="20">
        <v>-6.5</v>
      </c>
      <c r="C130" s="20">
        <v>4.2</v>
      </c>
      <c r="D130" s="20">
        <v>-3.7</v>
      </c>
      <c r="E130" s="20">
        <v>5.0999999999999996</v>
      </c>
      <c r="F130" s="20">
        <v>-9.8000000000000007</v>
      </c>
      <c r="G130" s="20">
        <v>-12</v>
      </c>
      <c r="H130" s="20">
        <v>12.6</v>
      </c>
      <c r="I130" s="20">
        <v>5.7</v>
      </c>
      <c r="J130" s="20">
        <v>17.7</v>
      </c>
      <c r="K130" s="20">
        <v>6.1</v>
      </c>
    </row>
    <row r="131" spans="1:11">
      <c r="A131" s="13" t="s">
        <v>177</v>
      </c>
      <c r="B131" s="14">
        <v>0.68</v>
      </c>
      <c r="C131" s="14">
        <v>0.85</v>
      </c>
      <c r="D131" s="14">
        <v>1.05</v>
      </c>
      <c r="E131" s="14">
        <v>1.32</v>
      </c>
      <c r="F131" s="14">
        <v>1.49</v>
      </c>
      <c r="G131" s="14">
        <v>1.68</v>
      </c>
      <c r="H131" s="14">
        <v>1.84</v>
      </c>
      <c r="I131" s="14">
        <v>1.96</v>
      </c>
      <c r="J131" s="14">
        <v>2.12</v>
      </c>
      <c r="K131" s="14">
        <v>2.3199999999999998</v>
      </c>
    </row>
    <row r="132" spans="1:11">
      <c r="A132" s="19" t="s">
        <v>109</v>
      </c>
      <c r="B132" s="20">
        <v>23.6</v>
      </c>
      <c r="C132" s="20">
        <v>25</v>
      </c>
      <c r="D132" s="20">
        <v>23.5</v>
      </c>
      <c r="E132" s="20">
        <v>25.7</v>
      </c>
      <c r="F132" s="20">
        <v>12.9</v>
      </c>
      <c r="G132" s="20">
        <v>12.8</v>
      </c>
      <c r="H132" s="20">
        <v>9.5</v>
      </c>
      <c r="I132" s="20">
        <v>6.5</v>
      </c>
      <c r="J132" s="20">
        <v>8.1999999999999993</v>
      </c>
      <c r="K132" s="20">
        <v>9.4</v>
      </c>
    </row>
    <row r="133" spans="1:11">
      <c r="A133" s="13" t="s">
        <v>40</v>
      </c>
      <c r="B133" s="15">
        <v>1016.2</v>
      </c>
      <c r="C133" s="15">
        <v>1246.2</v>
      </c>
      <c r="D133" s="15">
        <v>1522</v>
      </c>
      <c r="E133" s="15">
        <v>1825.2</v>
      </c>
      <c r="F133" s="15">
        <v>1819.6</v>
      </c>
      <c r="G133" s="15">
        <v>1970.3</v>
      </c>
      <c r="H133" s="15">
        <v>2166.8000000000002</v>
      </c>
      <c r="I133" s="15">
        <v>2260.5</v>
      </c>
      <c r="J133" s="15">
        <v>2431.1999999999998</v>
      </c>
      <c r="K133" s="15">
        <v>2630.4</v>
      </c>
    </row>
    <row r="134" spans="1:11">
      <c r="A134" s="19" t="s">
        <v>109</v>
      </c>
      <c r="B134" s="20">
        <v>22.9</v>
      </c>
      <c r="C134" s="20">
        <v>22.6</v>
      </c>
      <c r="D134" s="20">
        <v>22.1</v>
      </c>
      <c r="E134" s="20">
        <v>19.899999999999999</v>
      </c>
      <c r="F134" s="20">
        <v>-0.3</v>
      </c>
      <c r="G134" s="20">
        <v>8.3000000000000007</v>
      </c>
      <c r="H134" s="20">
        <v>10</v>
      </c>
      <c r="I134" s="20">
        <v>4.3</v>
      </c>
      <c r="J134" s="20">
        <v>7.6</v>
      </c>
      <c r="K134" s="20">
        <v>8.1999999999999993</v>
      </c>
    </row>
    <row r="135" spans="1:11">
      <c r="A135" s="13" t="s">
        <v>178</v>
      </c>
      <c r="B135" s="14">
        <v>3.6</v>
      </c>
      <c r="C135" s="14" t="s">
        <v>37</v>
      </c>
      <c r="D135" s="14" t="s">
        <v>37</v>
      </c>
      <c r="E135" s="14" t="s">
        <v>37</v>
      </c>
      <c r="F135" s="14" t="s">
        <v>37</v>
      </c>
      <c r="G135" s="14" t="s">
        <v>37</v>
      </c>
      <c r="H135" s="14" t="s">
        <v>37</v>
      </c>
      <c r="I135" s="14" t="s">
        <v>37</v>
      </c>
      <c r="J135" s="14" t="s">
        <v>37</v>
      </c>
      <c r="K135" s="14" t="s">
        <v>37</v>
      </c>
    </row>
    <row r="136" spans="1:11">
      <c r="A136" s="19" t="s">
        <v>109</v>
      </c>
      <c r="B136" s="20">
        <v>-41.9</v>
      </c>
      <c r="C136" s="20" t="s">
        <v>37</v>
      </c>
      <c r="D136" s="20" t="s">
        <v>37</v>
      </c>
      <c r="E136" s="20" t="s">
        <v>37</v>
      </c>
      <c r="F136" s="20" t="s">
        <v>37</v>
      </c>
      <c r="G136" s="20" t="s">
        <v>37</v>
      </c>
      <c r="H136" s="20" t="s">
        <v>37</v>
      </c>
      <c r="I136" s="20" t="s">
        <v>37</v>
      </c>
      <c r="J136" s="20" t="s">
        <v>37</v>
      </c>
      <c r="K136" s="20" t="s">
        <v>37</v>
      </c>
    </row>
    <row r="137" spans="1:11">
      <c r="A137" s="13" t="s">
        <v>39</v>
      </c>
      <c r="B137" s="14">
        <v>843.9</v>
      </c>
      <c r="C137" s="14">
        <v>923.5</v>
      </c>
      <c r="D137" s="14">
        <v>953.9</v>
      </c>
      <c r="E137" s="15">
        <v>1060.5</v>
      </c>
      <c r="F137" s="15">
        <v>1144.5</v>
      </c>
      <c r="G137" s="15">
        <v>1207.5999999999999</v>
      </c>
      <c r="H137" s="15">
        <v>1218.3</v>
      </c>
      <c r="I137" s="15">
        <v>1255.2</v>
      </c>
      <c r="J137" s="15">
        <v>1341.1</v>
      </c>
      <c r="K137" s="15">
        <v>1492.2</v>
      </c>
    </row>
    <row r="138" spans="1:11">
      <c r="A138" s="19" t="s">
        <v>109</v>
      </c>
      <c r="B138" s="20" t="s">
        <v>37</v>
      </c>
      <c r="C138" s="20">
        <v>9.4</v>
      </c>
      <c r="D138" s="20">
        <v>3.3</v>
      </c>
      <c r="E138" s="20">
        <v>11.2</v>
      </c>
      <c r="F138" s="20">
        <v>7.9</v>
      </c>
      <c r="G138" s="20">
        <v>5.5</v>
      </c>
      <c r="H138" s="20">
        <v>0.9</v>
      </c>
      <c r="I138" s="20">
        <v>3</v>
      </c>
      <c r="J138" s="20">
        <v>6.8</v>
      </c>
      <c r="K138" s="20">
        <v>11.3</v>
      </c>
    </row>
    <row r="139" spans="1:11">
      <c r="A139" s="13" t="s">
        <v>179</v>
      </c>
      <c r="B139" s="15">
        <v>1137.8</v>
      </c>
      <c r="C139" s="15">
        <v>1223.2</v>
      </c>
      <c r="D139" s="15">
        <v>1329.2</v>
      </c>
      <c r="E139" s="15">
        <v>1625.2</v>
      </c>
      <c r="F139" s="15">
        <v>1666</v>
      </c>
      <c r="G139" s="15">
        <v>2441.1</v>
      </c>
      <c r="H139" s="15">
        <v>2559.6999999999998</v>
      </c>
      <c r="I139" s="15">
        <v>2522</v>
      </c>
      <c r="J139" s="15">
        <v>2679.3</v>
      </c>
      <c r="K139" s="15">
        <v>2881</v>
      </c>
    </row>
    <row r="140" spans="1:11">
      <c r="A140" s="19" t="s">
        <v>109</v>
      </c>
      <c r="B140" s="20">
        <v>16.8</v>
      </c>
      <c r="C140" s="20">
        <v>7.5</v>
      </c>
      <c r="D140" s="20">
        <v>8.6999999999999993</v>
      </c>
      <c r="E140" s="20">
        <v>22.3</v>
      </c>
      <c r="F140" s="20">
        <v>2.5</v>
      </c>
      <c r="G140" s="20">
        <v>46.5</v>
      </c>
      <c r="H140" s="20">
        <v>4.9000000000000004</v>
      </c>
      <c r="I140" s="20">
        <v>-1.5</v>
      </c>
      <c r="J140" s="20">
        <v>6.2</v>
      </c>
      <c r="K140" s="20">
        <v>7.5</v>
      </c>
    </row>
    <row r="141" spans="1:11">
      <c r="A141" s="17" t="s">
        <v>41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WACC</vt:lpstr>
      <vt:lpstr>Beta Regression</vt:lpstr>
      <vt:lpstr>Sensitivity Analysis</vt:lpstr>
      <vt:lpstr>Adjusted Tax Rate </vt:lpstr>
      <vt:lpstr>DCF</vt:lpstr>
      <vt:lpstr>Ratios </vt:lpstr>
      <vt:lpstr>growth calculation</vt:lpstr>
      <vt:lpstr>Balance Sheet</vt:lpstr>
      <vt:lpstr>Cash Flow </vt:lpstr>
      <vt:lpstr>Income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tak</dc:creator>
  <cp:lastModifiedBy>chetan tak</cp:lastModifiedBy>
  <dcterms:created xsi:type="dcterms:W3CDTF">2025-06-09T16:07:21Z</dcterms:created>
  <dcterms:modified xsi:type="dcterms:W3CDTF">2025-08-25T14:30:58Z</dcterms:modified>
</cp:coreProperties>
</file>